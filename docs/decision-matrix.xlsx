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end" sheetId="1" state="visible" r:id="rId3"/>
    <sheet name="Voltage" sheetId="2" state="visible" r:id="rId4"/>
    <sheet name="Amperage" sheetId="3" state="visible" r:id="rId5"/>
    <sheet name="Protocol" sheetId="4" state="visible" r:id="rId6"/>
    <sheet name="Control" sheetId="5" state="visible" r:id="rId7"/>
    <sheet name="EMI Hardeni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Candidate cell -- not yet selected in BOM. See REFERENCES.md [14]. Status: Candidate (unverified) -- live fetch blocked HTTP 403, 2026-08-02.</t>
        </r>
      </text>
    </comment>
    <comment ref="B8" authorId="0">
      <text>
        <r>
          <rPr>
            <sz val="10"/>
            <rFont val="Arial"/>
            <family val="2"/>
          </rPr>
          <t xml:space="preserve">Cutoff voltage is cell-model dependent (2.5-3.0 V/cell across candidate cells researched). Kokam SLPB65216216 [14] cross-check shows 2.7V/cell. Re-derive against the cell actually selected at BOM finalization (TODO.md 10.2).</t>
        </r>
      </text>
    </comment>
  </commentList>
</comments>
</file>

<file path=xl/sharedStrings.xml><?xml version="1.0" encoding="utf-8"?>
<sst xmlns="http://schemas.openxmlformats.org/spreadsheetml/2006/main" count="256" uniqueCount="164">
  <si>
    <t xml:space="preserve">Open-Secure-ESC — Design Option Decision Matrix</t>
  </si>
  <si>
    <t xml:space="preserve">Generated 2026-08-02. Governed by AGENTS.md / REFERENCES.md / TODO.md in the repo. This workbook is a derived view — the repo files are the source of truth.</t>
  </si>
  <si>
    <t xml:space="preserve">Purpose</t>
  </si>
  <si>
    <t xml:space="preserve">One sheet per README.md build axis (Voltage, Amperage, Protocol, Control, EMI Hardening). Each row is one build option; columns show the workflow steps and BOM component(s) that option requires, with REFERENCES.md citation tags and a verification status.</t>
  </si>
  <si>
    <t xml:space="preserve">Status legend</t>
  </si>
  <si>
    <t xml:space="preserve">Verified (local PDF)</t>
  </si>
  <si>
    <t xml:space="preserve">A local, directly-verified PDF copy exists in docs/datasheets/ and page/section citations were read from it (e.g. [1] MSPM0G3507, [2] SLB9672).</t>
  </si>
  <si>
    <t xml:space="preserve">Candidate (unverified)</t>
  </si>
  <si>
    <t xml:space="preserve">A real part/standard was identified and cross-corroborated via 2+ independent secondary sources (distributor listings, search-indexed excerpts), but this session's live-fetch tool (WebFetch) returned HTTP 403 for every domain tried, so no primary PDF was opened directly and no local copy exists yet. Not yet selected in a bill of materials.</t>
  </si>
  <si>
    <t xml:space="preserve">Open / unresolved</t>
  </si>
  <si>
    <t xml:space="preserve">No specific part or authoritative spec has been sourced yet; tracked as an open TODO.md item.</t>
  </si>
  <si>
    <t xml:space="preserve">No part needed</t>
  </si>
  <si>
    <t xml:space="preserve">The MCU's own native peripheral (or a layout/practice-only technique) covers this option — no additional BOM line.</t>
  </si>
  <si>
    <t xml:space="preserve">Methodology caveat</t>
  </si>
  <si>
    <t xml:space="preserve">Every entry marked "Candidate (unverified)" in this workbook corresponds to REFERENCES.md tags [12]-[23], added 2026-08-02. This session's WebFetch tool returned HTTP 403 for every domain attempted -- including a neutral non-vendor control URL used as a sanity check -- so specs for those parts are corroborated via secondary sources only, not read directly from a primary datasheet PDF. Per AGENTS.md, these must not be treated as settled citations until a working fetch path or manual PDF download resolves them (see TODO.md 1.10). Do not remove this caveat until that verification pass happens.</t>
  </si>
  <si>
    <t xml:space="preserve">Sheets in this workbook</t>
  </si>
  <si>
    <t xml:space="preserve">Voltage</t>
  </si>
  <si>
    <t xml:space="preserve">Battery voltage tiers (2S-12S): pack nominal/max/min voltage and component-derating workflow.</t>
  </si>
  <si>
    <t xml:space="preserve">Amperage</t>
  </si>
  <si>
    <t xml:space="preserve">Motor current tiers (10A-120A): power MOSFET, gate driver, and current-sensing BOM per tier.</t>
  </si>
  <si>
    <t xml:space="preserve">Protocol</t>
  </si>
  <si>
    <t xml:space="preserve">The 11 communication protocol options: MCU-native vs. added-transceiver BOM and workflow.</t>
  </si>
  <si>
    <t xml:space="preserve">Control</t>
  </si>
  <si>
    <t xml:space="preserve">The 3 control-loop topologies: feedback-sensing approach and firmware workflow.</t>
  </si>
  <si>
    <t xml:space="preserve">EMI Hardening</t>
  </si>
  <si>
    <t xml:space="preserve">The 4 EMI tiers: governing standard(s) and BOM part (or layout-only) per tier.</t>
  </si>
  <si>
    <t xml:space="preserve">Voltage Tier Decision Matrix</t>
  </si>
  <si>
    <t xml:space="preserve">Build axis: Voltage (2S / 4S / 6S / 8S / 12S)</t>
  </si>
  <si>
    <t xml:space="preserve">Per-cell assumption (candidate cell)</t>
  </si>
  <si>
    <t xml:space="preserve">Cell part</t>
  </si>
  <si>
    <t xml:space="preserve">Molicel INR-21700-P42A [14]</t>
  </si>
  <si>
    <t xml:space="preserve">Nominal V / cell</t>
  </si>
  <si>
    <t xml:space="preserve">Max (full charge) V / cell</t>
  </si>
  <si>
    <t xml:space="preserve">Min (cutoff) V / cell</t>
  </si>
  <si>
    <t xml:space="preserve">Tier</t>
  </si>
  <si>
    <t xml:space="preserve">Series Cells</t>
  </si>
  <si>
    <t xml:space="preserve">Nominal Pack V</t>
  </si>
  <si>
    <t xml:space="preserve">Max Pack V</t>
  </si>
  <si>
    <t xml:space="preserve">Min Pack V</t>
  </si>
  <si>
    <t xml:space="preserve">Workflow / Derating Steps</t>
  </si>
  <si>
    <t xml:space="preserve">BOM Components</t>
  </si>
  <si>
    <t xml:space="preserve">REFERENCES.md Tags</t>
  </si>
  <si>
    <t xml:space="preserve">Status</t>
  </si>
  <si>
    <t xml:space="preserve">2S</t>
  </si>
  <si>
    <t xml:space="preserve">Derate FET [20] VDS and bulk-capacitor voltage rating against Max Pack V with margin (~2x recommended); verify DRV8353S [21] VM range (9-75V) spans Max Pack V; select input protection/reverse-polarity FET rated ≥ Max Pack V.</t>
  </si>
  <si>
    <t xml:space="preserve">Bulk input capacitor (V rating ≥ Max Pack V); shares FET [20] / gate driver [21] from Amperage sheet</t>
  </si>
  <si>
    <t xml:space="preserve">[14], [20], [21]</t>
  </si>
  <si>
    <t xml:space="preserve">4S</t>
  </si>
  <si>
    <t xml:space="preserve">6S</t>
  </si>
  <si>
    <t xml:space="preserve">8S</t>
  </si>
  <si>
    <t xml:space="preserve">12S</t>
  </si>
  <si>
    <t xml:space="preserve">Amperage Tier Decision Matrix</t>
  </si>
  <si>
    <t xml:space="preserve">Build axis: Amperage (10A / 20A / 30A / 40A / 50A / 80A / 120A)</t>
  </si>
  <si>
    <t xml:space="preserve">Tier (A)</t>
  </si>
  <si>
    <t xml:space="preserve">FET Qty / Phase Leg</t>
  </si>
  <si>
    <t xml:space="preserve">FET Part</t>
  </si>
  <si>
    <t xml:space="preserve">FET Total Rated Capacity (A)</t>
  </si>
  <si>
    <t xml:space="preserve">Margin (x)</t>
  </si>
  <si>
    <t xml:space="preserve">Gate Driver Part</t>
  </si>
  <si>
    <t xml:space="preserve">Shunt R (mΩ)</t>
  </si>
  <si>
    <t xml:space="preserve">Shunt Drop (mV)</t>
  </si>
  <si>
    <t xml:space="preserve">Shunt Power (W)</t>
  </si>
  <si>
    <t xml:space="preserve">Shunt Qty Needed</t>
  </si>
  <si>
    <t xml:space="preserve">Current-Sense Amp (Gain)</t>
  </si>
  <si>
    <t xml:space="preserve">Infineon IRFB4110PBF [20]</t>
  </si>
  <si>
    <t xml:space="preserve">TI DRV8353S [21]</t>
  </si>
  <si>
    <t xml:space="preserve">TI INA240 [22], 20 or 50 V/V</t>
  </si>
  <si>
    <t xml:space="preserve">[20], [21], [22], [23]</t>
  </si>
  <si>
    <t xml:space="preserve">TI INA240 [22], 50 V/V</t>
  </si>
  <si>
    <t xml:space="preserve">TI INA240 [22], 100 V/V</t>
  </si>
  <si>
    <t xml:space="preserve">TI INA240 [22], 200 V/V</t>
  </si>
  <si>
    <t xml:space="preserve">Shunt part: Vishay WSLP2512 [23] (3.0W package rating). "Shunt Qty Needed" = ROUNDUP(Shunt Power / 3W, 0); at 80A/120A this correctly computes 2x and 3x devices in parallel (7.2W / 3 tiers exceeds a single package's rating). FET parallel count and gate-driver reuse are a BOM-commonality choice (AGENTS.md §4 judgment call), not a datasheet requirement -- a smaller SO-8 FET would be leaner for the 10A-30A tiers if part-count commonality were not prioritized.</t>
  </si>
  <si>
    <t xml:space="preserve">Protocol Interface Decision Matrix</t>
  </si>
  <si>
    <t xml:space="preserve">Build axis: Protocol (11 options)</t>
  </si>
  <si>
    <t xml:space="preserve">MCU Native Peripheral?</t>
  </si>
  <si>
    <t xml:space="preserve">Additional BOM Component</t>
  </si>
  <si>
    <t xml:space="preserve">Workflow Steps</t>
  </si>
  <si>
    <t xml:space="preserve">PWM</t>
  </si>
  <si>
    <t xml:space="preserve">Yes -- TIMx advanced/general-purpose timers [1] §8.29</t>
  </si>
  <si>
    <t xml:space="preserve">None</t>
  </si>
  <si>
    <t xml:space="preserve">Configure MCU timer capture/compare input; map duty-cycle/period per protocol variant.</t>
  </si>
  <si>
    <t xml:space="preserve">[1]</t>
  </si>
  <si>
    <t xml:space="preserve">SBus</t>
  </si>
  <si>
    <t xml:space="preserve">No native RX/TX invert (checked [1] p.67 §8.23, Table 8-15 -- no polarity-select feature listed)</t>
  </si>
  <si>
    <t xml:space="preserve">External signal inverter (single-transistor or logic buffer) -- part not yet selected</t>
  </si>
  <si>
    <t xml:space="preserve">Source Futaba SBus signaling spec (proprietary, no official spec located); build/verify external inversion circuit for the MCU's native UART RX; mark implementation UNVERIFIED per REFERENCES.md.</t>
  </si>
  <si>
    <t xml:space="preserve">DBus</t>
  </si>
  <si>
    <t xml:space="preserve">Same as SBus -- no native invert</t>
  </si>
  <si>
    <t xml:space="preserve">Same external inverter approach as SBus -- part not yet selected</t>
  </si>
  <si>
    <t xml:space="preserve">Same treatment as SBus: proprietary protocol, no official spec located; external inversion hardware needed.</t>
  </si>
  <si>
    <t xml:space="preserve">UART</t>
  </si>
  <si>
    <t xml:space="preserve">Yes -- UART0-3 [1] §8.23, p.67</t>
  </si>
  <si>
    <t xml:space="preserve">None (logic-level only)</t>
  </si>
  <si>
    <t xml:space="preserve">Configure MCU UART peripheral (baud, parity, stop bits) per protocol variant.</t>
  </si>
  <si>
    <t xml:space="preserve">TTL</t>
  </si>
  <si>
    <t xml:space="preserve">Yes -- shares UART peripheral [1] §8.23</t>
  </si>
  <si>
    <t xml:space="preserve">Same as UART; TTL refers to the logic-level signaling, not a distinct peripheral.</t>
  </si>
  <si>
    <t xml:space="preserve">SPI</t>
  </si>
  <si>
    <t xml:space="preserve">Yes -- two SPI peripherals [1] §8.25</t>
  </si>
  <si>
    <t xml:space="preserve">Configure MCU SPI peripheral (mode, clock rate up to 32 Mbit/s on one instance).</t>
  </si>
  <si>
    <t xml:space="preserve">RS-232</t>
  </si>
  <si>
    <t xml:space="preserve">No -- needs 3.3V-to-RS-232 level shifting</t>
  </si>
  <si>
    <t xml:space="preserve">ADM3232E [12] (candidate; alt. considered: TI MAX3232)</t>
  </si>
  <si>
    <t xml:space="preserve">Select RS-232 transceiver; verify ±15kV ESD and 3.3V-native supply match MCU rail; per [3].</t>
  </si>
  <si>
    <t xml:space="preserve">[1], [3], [12]</t>
  </si>
  <si>
    <t xml:space="preserve">RS-485</t>
  </si>
  <si>
    <t xml:space="preserve">No -- needs isolated RS-485 transceiver</t>
  </si>
  <si>
    <t xml:space="preserve">ADM2582E / ADM2587E [9] (candidate)</t>
  </si>
  <si>
    <t xml:space="preserve">Select isolated RS-485 transceiver; verify ANSI/TIA/EIA-485-A-98 compliance and isolation voltage; per [4].</t>
  </si>
  <si>
    <t xml:space="preserve">[4], [9]</t>
  </si>
  <si>
    <t xml:space="preserve">CAN2.0</t>
  </si>
  <si>
    <t xml:space="preserve">Yes -- CAN peripheral supports CAN2.0A/B [1] §8.26, p.68</t>
  </si>
  <si>
    <t xml:space="preserve">ADM3055E / ADM3057E [10] (isolated transceiver, candidate)</t>
  </si>
  <si>
    <t xml:space="preserve">Configure MCU CAN peripheral for classic frames; select isolated CAN transceiver; per [5].</t>
  </si>
  <si>
    <t xml:space="preserve">[1], [5], [10]</t>
  </si>
  <si>
    <t xml:space="preserve">CAN-FD</t>
  </si>
  <si>
    <t xml:space="preserve">Yes -- CAN peripheral supports CAN-FD, ISO 11898-1:2015 [1] §8.26, p.68</t>
  </si>
  <si>
    <t xml:space="preserve">Configure MCU CAN peripheral for FD frames (up to 5Mbit/s); select isolated CAN-FD transceiver; per [6].</t>
  </si>
  <si>
    <t xml:space="preserve">[1], [6], [10]</t>
  </si>
  <si>
    <t xml:space="preserve">MIL-STD-1553B</t>
  </si>
  <si>
    <t xml:space="preserve">No -- needs dedicated 1553 interface module</t>
  </si>
  <si>
    <t xml:space="preserve">Alta MEZ-E1553 [11] (candidate host-interface module)</t>
  </si>
  <si>
    <t xml:space="preserve">Select 1553 interface module; confirm target revision (1553B vs. 1553C, open per TODO.md 1.7); per [7].</t>
  </si>
  <si>
    <t xml:space="preserve">[7], [11]</t>
  </si>
  <si>
    <t xml:space="preserve">Control Loop Decision Matrix</t>
  </si>
  <si>
    <t xml:space="preserve">Build axis: Control (Open / Closed-Diff / Closed-PID)</t>
  </si>
  <si>
    <t xml:space="preserve">Control Mode</t>
  </si>
  <si>
    <t xml:space="preserve">Feedback Method</t>
  </si>
  <si>
    <t xml:space="preserve">Firmware Workflow Steps</t>
  </si>
  <si>
    <t xml:space="preserve">Open-loop</t>
  </si>
  <si>
    <t xml:space="preserve">None -- fixed commanded duty cycle, no feedback</t>
  </si>
  <si>
    <t xml:space="preserve">Map input protocol command directly to PWM duty cycle; no observer or control-law firmware needed.</t>
  </si>
  <si>
    <t xml:space="preserve">-</t>
  </si>
  <si>
    <t xml:space="preserve">Closed-loop differential</t>
  </si>
  <si>
    <t xml:space="preserve">Sensorless FOC observer (TI SLAAE96A [13]) using MCU's own ADC / OPA / COMP peripherals ([1] p.77, Table 10-1: 2xADC, 2xOPA, 3xCOMP)</t>
  </si>
  <si>
    <t xml:space="preserve">None (sensorless); fallback candidate: TI DRV5013 Hall sensor [13]</t>
  </si>
  <si>
    <t xml:space="preserve">Implement rotor position/speed observer per SLAAE96A; compute differential (measured vs. commanded) speed error each control cycle; no proportional/integral tuning beyond differential term.</t>
  </si>
  <si>
    <t xml:space="preserve">[1], [13]</t>
  </si>
  <si>
    <t xml:space="preserve">Closed-loop PID</t>
  </si>
  <si>
    <t xml:space="preserve">Same sensorless FOC observer as Closed-loop differential ([13])</t>
  </si>
  <si>
    <t xml:space="preserve">Same observer as above; add integral and derivative terms to the control law; tune PID gains against the amperage/voltage tier's motor and load characteristics.</t>
  </si>
  <si>
    <t xml:space="preserve">EMI Hardening Tier Decision Matrix</t>
  </si>
  <si>
    <t xml:space="preserve">Build axis: EMI Hardening (None / Isolation / Grounding / Faraday)</t>
  </si>
  <si>
    <t xml:space="preserve">Governing Standard(s)</t>
  </si>
  <si>
    <t xml:space="preserve">BOM Component</t>
  </si>
  <si>
    <t xml:space="preserve">Purchasable Part?</t>
  </si>
  <si>
    <t xml:space="preserve">No</t>
  </si>
  <si>
    <t xml:space="preserve">No additional EMI mitigation beyond standard PCB layout practice.</t>
  </si>
  <si>
    <t xml:space="preserve">Isolation</t>
  </si>
  <si>
    <t xml:space="preserve">IEC 62368-1:2018 [16] (basic/reinforced insulation classification)</t>
  </si>
  <si>
    <t xml:space="preserve">ADuM4221 isolated gate driver [18] (candidate)</t>
  </si>
  <si>
    <t xml:space="preserve">Yes</t>
  </si>
  <si>
    <t xml:space="preserve">Select isolated gate driver / digital isolator for gate-drive and/or feedback signal paths; verify UL1577 proof-test rating and creepage/clearance per [16]; scope which signal class(es) the tier covers before final part selection.</t>
  </si>
  <si>
    <t xml:space="preserve">[16], [18]</t>
  </si>
  <si>
    <t xml:space="preserve">Grounding</t>
  </si>
  <si>
    <t xml:space="preserve">MIL-STD-461G [15] (general bonding requirements); IEC/TR 61000-5-2:1997 [17] (earthing/cabling installation guideline)</t>
  </si>
  <si>
    <t xml:space="preserve">None -- layout/practice only</t>
  </si>
  <si>
    <t xml:space="preserve">Apply single-point ground topology, continuous ground-plane layout, and star-grounding of high-di/dt power-stage return paths per [15]/[17]; no purchasable component implements this tier.</t>
  </si>
  <si>
    <t xml:space="preserve">[15], [17]</t>
  </si>
  <si>
    <t xml:space="preserve">Faraday</t>
  </si>
  <si>
    <t xml:space="preserve">MIL-STD-461G [15] (shielding/radiated-emissions rationale, e.g. RE102/CE102 test methods)</t>
  </si>
  <si>
    <t xml:space="preserve">Würth Elektronik WE-SHC 3671375 shielding cabinet [19] (candidate)</t>
  </si>
  <si>
    <t xml:space="preserve">Select board-level shielding can sized to cover the gate-drive / high-di/dt switching node area; verify shielding effectiveness (dB) over the target frequency range per [15]'s emissions rationale.</t>
  </si>
  <si>
    <t xml:space="preserve">[15], [19]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</si>
</sst>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&quot; V&quot;"/>
    <numFmt numFmtId="166" formatCode="General"/>
    <numFmt numFmtId="167" formatCode="0.00\x"/>
    <numFmt numFmtId="168" formatCode="0.000"/>
    <numFmt numFmtId="169" formatCode="0.0"/>
    <numFmt numFmtId="170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1F1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9C0006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i val="true"/>
      <sz val="9"/>
      <color rgb="FF59595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D9D9D9"/>
        <bgColor rgb="FFC6EFCE"/>
      </patternFill>
    </fill>
    <fill>
      <patternFill patternType="solid">
        <fgColor rgb="FF2F5597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3" style="0" width="2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48" hidden="false" customHeight="true" outlineLevel="0" collapsed="false">
      <c r="A4" s="3" t="s">
        <v>2</v>
      </c>
      <c r="B4" s="4" t="s">
        <v>3</v>
      </c>
      <c r="C4" s="4"/>
      <c r="D4" s="4"/>
      <c r="E4" s="4"/>
      <c r="F4" s="4"/>
    </row>
    <row r="6" customFormat="false" ht="15" hidden="false" customHeight="false" outlineLevel="0" collapsed="false">
      <c r="A6" s="3" t="s">
        <v>4</v>
      </c>
    </row>
    <row r="7" customFormat="false" ht="42" hidden="false" customHeight="true" outlineLevel="0" collapsed="false">
      <c r="A7" s="5" t="s">
        <v>5</v>
      </c>
      <c r="B7" s="4" t="s">
        <v>6</v>
      </c>
      <c r="C7" s="4"/>
      <c r="D7" s="4"/>
      <c r="E7" s="4"/>
      <c r="F7" s="4"/>
    </row>
    <row r="8" customFormat="false" ht="42" hidden="false" customHeight="true" outlineLevel="0" collapsed="false">
      <c r="A8" s="6" t="s">
        <v>7</v>
      </c>
      <c r="B8" s="4" t="s">
        <v>8</v>
      </c>
      <c r="C8" s="4"/>
      <c r="D8" s="4"/>
      <c r="E8" s="4"/>
      <c r="F8" s="4"/>
    </row>
    <row r="9" customFormat="false" ht="42" hidden="false" customHeight="true" outlineLevel="0" collapsed="false">
      <c r="A9" s="7" t="s">
        <v>9</v>
      </c>
      <c r="B9" s="4" t="s">
        <v>10</v>
      </c>
      <c r="C9" s="4"/>
      <c r="D9" s="4"/>
      <c r="E9" s="4"/>
      <c r="F9" s="4"/>
    </row>
    <row r="10" customFormat="false" ht="42" hidden="false" customHeight="true" outlineLevel="0" collapsed="false">
      <c r="A10" s="8" t="s">
        <v>11</v>
      </c>
      <c r="B10" s="4" t="s">
        <v>12</v>
      </c>
      <c r="C10" s="4"/>
      <c r="D10" s="4"/>
      <c r="E10" s="4"/>
      <c r="F10" s="4"/>
    </row>
    <row r="12" customFormat="false" ht="15" hidden="false" customHeight="false" outlineLevel="0" collapsed="false">
      <c r="A12" s="3" t="s">
        <v>13</v>
      </c>
    </row>
    <row r="13" customFormat="false" ht="90" hidden="false" customHeight="true" outlineLevel="0" collapsed="false">
      <c r="A13" s="9" t="s">
        <v>14</v>
      </c>
      <c r="B13" s="9"/>
      <c r="C13" s="9"/>
      <c r="D13" s="9"/>
      <c r="E13" s="9"/>
      <c r="F13" s="9"/>
    </row>
    <row r="15" customFormat="false" ht="15" hidden="false" customHeight="false" outlineLevel="0" collapsed="false">
      <c r="A15" s="3" t="s">
        <v>15</v>
      </c>
    </row>
    <row r="16" customFormat="false" ht="15" hidden="false" customHeight="true" outlineLevel="0" collapsed="false">
      <c r="A16" s="10" t="s">
        <v>16</v>
      </c>
      <c r="B16" s="4" t="s">
        <v>17</v>
      </c>
      <c r="C16" s="4"/>
      <c r="D16" s="4"/>
      <c r="E16" s="4"/>
      <c r="F16" s="4"/>
    </row>
    <row r="17" customFormat="false" ht="15" hidden="false" customHeight="true" outlineLevel="0" collapsed="false">
      <c r="A17" s="10" t="s">
        <v>18</v>
      </c>
      <c r="B17" s="4" t="s">
        <v>19</v>
      </c>
      <c r="C17" s="4"/>
      <c r="D17" s="4"/>
      <c r="E17" s="4"/>
      <c r="F17" s="4"/>
    </row>
    <row r="18" customFormat="false" ht="15" hidden="false" customHeight="true" outlineLevel="0" collapsed="false">
      <c r="A18" s="10" t="s">
        <v>20</v>
      </c>
      <c r="B18" s="4" t="s">
        <v>21</v>
      </c>
      <c r="C18" s="4"/>
      <c r="D18" s="4"/>
      <c r="E18" s="4"/>
      <c r="F18" s="4"/>
    </row>
    <row r="19" customFormat="false" ht="15" hidden="false" customHeight="true" outlineLevel="0" collapsed="false">
      <c r="A19" s="10" t="s">
        <v>22</v>
      </c>
      <c r="B19" s="4" t="s">
        <v>23</v>
      </c>
      <c r="C19" s="4"/>
      <c r="D19" s="4"/>
      <c r="E19" s="4"/>
      <c r="F19" s="4"/>
    </row>
    <row r="20" customFormat="false" ht="15" hidden="false" customHeight="true" outlineLevel="0" collapsed="false">
      <c r="A20" s="10" t="s">
        <v>24</v>
      </c>
      <c r="B20" s="4" t="s">
        <v>25</v>
      </c>
      <c r="C20" s="4"/>
      <c r="D20" s="4"/>
      <c r="E20" s="4"/>
      <c r="F20" s="4"/>
    </row>
  </sheetData>
  <mergeCells count="13">
    <mergeCell ref="A1:F1"/>
    <mergeCell ref="A2:F2"/>
    <mergeCell ref="B4:F4"/>
    <mergeCell ref="B7:F7"/>
    <mergeCell ref="B8:F8"/>
    <mergeCell ref="B9:F9"/>
    <mergeCell ref="B10:F10"/>
    <mergeCell ref="A13:F13"/>
    <mergeCell ref="B16:F16"/>
    <mergeCell ref="B17:F17"/>
    <mergeCell ref="B18:F18"/>
    <mergeCell ref="B19:F19"/>
    <mergeCell ref="B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6" min="6" style="0" width="46"/>
    <col collapsed="false" customWidth="true" hidden="false" outlineLevel="0" max="7" min="7" style="0" width="40"/>
    <col collapsed="false" customWidth="true" hidden="false" outlineLevel="0" max="8" min="8" style="0" width="16"/>
    <col collapsed="false" customWidth="true" hidden="false" outlineLevel="0" max="9" min="9" style="0" width="22"/>
  </cols>
  <sheetData>
    <row r="1" customFormat="false" ht="25.5" hidden="false" customHeight="true" outlineLevel="0" collapsed="false">
      <c r="A1" s="1" t="s">
        <v>26</v>
      </c>
      <c r="B1" s="1"/>
      <c r="C1" s="1"/>
      <c r="D1" s="1"/>
      <c r="E1" s="1"/>
      <c r="F1" s="1"/>
      <c r="G1" s="1"/>
      <c r="H1" s="1"/>
      <c r="I1" s="1"/>
    </row>
    <row r="2" customFormat="false" ht="15.75" hidden="false" customHeight="true" outlineLevel="0" collapsed="false">
      <c r="A2" s="2" t="s">
        <v>27</v>
      </c>
      <c r="B2" s="2"/>
      <c r="C2" s="2"/>
      <c r="D2" s="2"/>
      <c r="E2" s="2"/>
      <c r="F2" s="2"/>
      <c r="G2" s="2"/>
      <c r="H2" s="2"/>
      <c r="I2" s="2"/>
    </row>
    <row r="4" customFormat="false" ht="57.45" hidden="false" customHeight="false" outlineLevel="0" collapsed="false">
      <c r="A4" s="11" t="s">
        <v>28</v>
      </c>
    </row>
    <row r="5" customFormat="false" ht="15" hidden="false" customHeight="false" outlineLevel="0" collapsed="false">
      <c r="A5" s="10" t="s">
        <v>29</v>
      </c>
      <c r="B5" s="12" t="s">
        <v>30</v>
      </c>
    </row>
    <row r="6" customFormat="false" ht="15" hidden="false" customHeight="false" outlineLevel="0" collapsed="false">
      <c r="A6" s="10" t="s">
        <v>31</v>
      </c>
      <c r="B6" s="12" t="n">
        <v>3.6</v>
      </c>
    </row>
    <row r="7" customFormat="false" ht="15" hidden="false" customHeight="false" outlineLevel="0" collapsed="false">
      <c r="A7" s="10" t="s">
        <v>32</v>
      </c>
      <c r="B7" s="12" t="n">
        <v>4.2</v>
      </c>
    </row>
    <row r="8" customFormat="false" ht="15" hidden="false" customHeight="false" outlineLevel="0" collapsed="false">
      <c r="A8" s="10" t="s">
        <v>33</v>
      </c>
      <c r="B8" s="12" t="n">
        <v>2.5</v>
      </c>
    </row>
    <row r="10" customFormat="false" ht="30" hidden="false" customHeight="true" outlineLevel="0" collapsed="false">
      <c r="A10" s="13" t="s">
        <v>34</v>
      </c>
      <c r="B10" s="13" t="s">
        <v>35</v>
      </c>
      <c r="C10" s="13" t="s">
        <v>36</v>
      </c>
      <c r="D10" s="13" t="s">
        <v>37</v>
      </c>
      <c r="E10" s="13" t="s">
        <v>38</v>
      </c>
      <c r="F10" s="13" t="s">
        <v>39</v>
      </c>
      <c r="G10" s="13" t="s">
        <v>40</v>
      </c>
      <c r="H10" s="13" t="s">
        <v>41</v>
      </c>
      <c r="I10" s="13" t="s">
        <v>42</v>
      </c>
    </row>
    <row r="11" customFormat="false" ht="60" hidden="false" customHeight="true" outlineLevel="0" collapsed="false">
      <c r="A11" s="14" t="s">
        <v>43</v>
      </c>
      <c r="B11" s="14" t="n">
        <v>2</v>
      </c>
      <c r="C11" s="15" t="n">
        <f aca="false">$B$6*B11</f>
        <v>7.2</v>
      </c>
      <c r="D11" s="15" t="n">
        <f aca="false">$B$7*B11</f>
        <v>8.4</v>
      </c>
      <c r="E11" s="15" t="n">
        <f aca="false">$B$8*B11</f>
        <v>5</v>
      </c>
      <c r="F11" s="14" t="s">
        <v>44</v>
      </c>
      <c r="G11" s="14" t="s">
        <v>45</v>
      </c>
      <c r="H11" s="14" t="s">
        <v>46</v>
      </c>
      <c r="I11" s="6" t="s">
        <v>7</v>
      </c>
    </row>
    <row r="12" customFormat="false" ht="60" hidden="false" customHeight="true" outlineLevel="0" collapsed="false">
      <c r="A12" s="14" t="s">
        <v>47</v>
      </c>
      <c r="B12" s="14" t="n">
        <v>4</v>
      </c>
      <c r="C12" s="15" t="n">
        <f aca="false">$B$6*B12</f>
        <v>14.4</v>
      </c>
      <c r="D12" s="15" t="n">
        <f aca="false">$B$7*B12</f>
        <v>16.8</v>
      </c>
      <c r="E12" s="15" t="n">
        <f aca="false">$B$8*B12</f>
        <v>10</v>
      </c>
      <c r="F12" s="14" t="s">
        <v>44</v>
      </c>
      <c r="G12" s="14" t="s">
        <v>45</v>
      </c>
      <c r="H12" s="14" t="s">
        <v>46</v>
      </c>
      <c r="I12" s="6" t="s">
        <v>7</v>
      </c>
    </row>
    <row r="13" customFormat="false" ht="60" hidden="false" customHeight="true" outlineLevel="0" collapsed="false">
      <c r="A13" s="14" t="s">
        <v>48</v>
      </c>
      <c r="B13" s="14" t="n">
        <v>6</v>
      </c>
      <c r="C13" s="15" t="n">
        <f aca="false">$B$6*B13</f>
        <v>21.6</v>
      </c>
      <c r="D13" s="15" t="n">
        <f aca="false">$B$7*B13</f>
        <v>25.2</v>
      </c>
      <c r="E13" s="15" t="n">
        <f aca="false">$B$8*B13</f>
        <v>15</v>
      </c>
      <c r="F13" s="14" t="s">
        <v>44</v>
      </c>
      <c r="G13" s="14" t="s">
        <v>45</v>
      </c>
      <c r="H13" s="14" t="s">
        <v>46</v>
      </c>
      <c r="I13" s="6" t="s">
        <v>7</v>
      </c>
    </row>
    <row r="14" customFormat="false" ht="60" hidden="false" customHeight="true" outlineLevel="0" collapsed="false">
      <c r="A14" s="14" t="s">
        <v>49</v>
      </c>
      <c r="B14" s="14" t="n">
        <v>8</v>
      </c>
      <c r="C14" s="15" t="n">
        <f aca="false">$B$6*B14</f>
        <v>28.8</v>
      </c>
      <c r="D14" s="15" t="n">
        <f aca="false">$B$7*B14</f>
        <v>33.6</v>
      </c>
      <c r="E14" s="15" t="n">
        <f aca="false">$B$8*B14</f>
        <v>20</v>
      </c>
      <c r="F14" s="14" t="s">
        <v>44</v>
      </c>
      <c r="G14" s="14" t="s">
        <v>45</v>
      </c>
      <c r="H14" s="14" t="s">
        <v>46</v>
      </c>
      <c r="I14" s="6" t="s">
        <v>7</v>
      </c>
    </row>
    <row r="15" customFormat="false" ht="60" hidden="false" customHeight="true" outlineLevel="0" collapsed="false">
      <c r="A15" s="14" t="s">
        <v>50</v>
      </c>
      <c r="B15" s="14" t="n">
        <v>12</v>
      </c>
      <c r="C15" s="15" t="n">
        <f aca="false">$B$6*B15</f>
        <v>43.2</v>
      </c>
      <c r="D15" s="15" t="n">
        <f aca="false">$B$7*B15</f>
        <v>50.4</v>
      </c>
      <c r="E15" s="15" t="n">
        <f aca="false">$B$8*B15</f>
        <v>30</v>
      </c>
      <c r="F15" s="14" t="s">
        <v>44</v>
      </c>
      <c r="G15" s="14" t="s">
        <v>45</v>
      </c>
      <c r="H15" s="14" t="s">
        <v>46</v>
      </c>
      <c r="I15" s="6" t="s">
        <v>7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26"/>
    <col collapsed="false" customWidth="true" hidden="false" outlineLevel="0" max="10" min="7" style="0" width="12"/>
    <col collapsed="false" customWidth="true" hidden="false" outlineLevel="0" max="11" min="11" style="0" width="22"/>
    <col collapsed="false" customWidth="true" hidden="false" outlineLevel="0" max="12" min="12" style="0" width="16"/>
    <col collapsed="false" customWidth="true" hidden="false" outlineLevel="0" max="13" min="13" style="0" width="22"/>
  </cols>
  <sheetData>
    <row r="1" customFormat="false" ht="25.5" hidden="false" customHeight="true" outlineLevel="0" collapsed="false">
      <c r="A1" s="1" t="s">
        <v>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2" t="s">
        <v>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0" hidden="false" customHeight="true" outlineLevel="0" collapsed="false">
      <c r="A4" s="13" t="s">
        <v>53</v>
      </c>
      <c r="B4" s="13" t="s">
        <v>54</v>
      </c>
      <c r="C4" s="13" t="s">
        <v>55</v>
      </c>
      <c r="D4" s="13" t="s">
        <v>56</v>
      </c>
      <c r="E4" s="13" t="s">
        <v>57</v>
      </c>
      <c r="F4" s="13" t="s">
        <v>58</v>
      </c>
      <c r="G4" s="13" t="s">
        <v>59</v>
      </c>
      <c r="H4" s="13" t="s">
        <v>60</v>
      </c>
      <c r="I4" s="13" t="s">
        <v>61</v>
      </c>
      <c r="J4" s="13" t="s">
        <v>62</v>
      </c>
      <c r="K4" s="13" t="s">
        <v>63</v>
      </c>
      <c r="L4" s="13" t="s">
        <v>41</v>
      </c>
      <c r="M4" s="13" t="s">
        <v>42</v>
      </c>
    </row>
    <row r="5" customFormat="false" ht="25.5" hidden="false" customHeight="true" outlineLevel="0" collapsed="false">
      <c r="A5" s="16" t="n">
        <v>10</v>
      </c>
      <c r="B5" s="17" t="n">
        <v>1</v>
      </c>
      <c r="C5" s="14" t="s">
        <v>64</v>
      </c>
      <c r="D5" s="18" t="n">
        <f aca="false">B5*120</f>
        <v>120</v>
      </c>
      <c r="E5" s="19" t="n">
        <f aca="false">D5/A5</f>
        <v>12</v>
      </c>
      <c r="F5" s="14" t="s">
        <v>65</v>
      </c>
      <c r="G5" s="20" t="n">
        <v>10</v>
      </c>
      <c r="H5" s="21" t="n">
        <f aca="false">A5*G5</f>
        <v>100</v>
      </c>
      <c r="I5" s="22" t="n">
        <f aca="false">A5^2*(G5/1000)</f>
        <v>1</v>
      </c>
      <c r="J5" s="18" t="n">
        <f aca="false">ROUNDUP(I5/3,0)</f>
        <v>1</v>
      </c>
      <c r="K5" s="14" t="s">
        <v>66</v>
      </c>
      <c r="L5" s="16" t="s">
        <v>67</v>
      </c>
      <c r="M5" s="6" t="s">
        <v>7</v>
      </c>
    </row>
    <row r="6" customFormat="false" ht="25.5" hidden="false" customHeight="true" outlineLevel="0" collapsed="false">
      <c r="A6" s="16" t="n">
        <v>20</v>
      </c>
      <c r="B6" s="17" t="n">
        <v>1</v>
      </c>
      <c r="C6" s="14" t="s">
        <v>64</v>
      </c>
      <c r="D6" s="18" t="n">
        <f aca="false">B6*120</f>
        <v>120</v>
      </c>
      <c r="E6" s="19" t="n">
        <f aca="false">D6/A6</f>
        <v>6</v>
      </c>
      <c r="F6" s="14" t="s">
        <v>65</v>
      </c>
      <c r="G6" s="20" t="n">
        <v>5</v>
      </c>
      <c r="H6" s="21" t="n">
        <f aca="false">A6*G6</f>
        <v>100</v>
      </c>
      <c r="I6" s="22" t="n">
        <f aca="false">A6^2*(G6/1000)</f>
        <v>2</v>
      </c>
      <c r="J6" s="18" t="n">
        <f aca="false">ROUNDUP(I6/3,0)</f>
        <v>1</v>
      </c>
      <c r="K6" s="14" t="s">
        <v>68</v>
      </c>
      <c r="L6" s="16" t="s">
        <v>67</v>
      </c>
      <c r="M6" s="6" t="s">
        <v>7</v>
      </c>
    </row>
    <row r="7" customFormat="false" ht="25.5" hidden="false" customHeight="true" outlineLevel="0" collapsed="false">
      <c r="A7" s="16" t="n">
        <v>30</v>
      </c>
      <c r="B7" s="17" t="n">
        <v>1</v>
      </c>
      <c r="C7" s="14" t="s">
        <v>64</v>
      </c>
      <c r="D7" s="18" t="n">
        <f aca="false">B7*120</f>
        <v>120</v>
      </c>
      <c r="E7" s="19" t="n">
        <f aca="false">D7/A7</f>
        <v>4</v>
      </c>
      <c r="F7" s="14" t="s">
        <v>65</v>
      </c>
      <c r="G7" s="20" t="n">
        <v>2</v>
      </c>
      <c r="H7" s="21" t="n">
        <f aca="false">A7*G7</f>
        <v>60</v>
      </c>
      <c r="I7" s="22" t="n">
        <f aca="false">A7^2*(G7/1000)</f>
        <v>1.8</v>
      </c>
      <c r="J7" s="18" t="n">
        <f aca="false">ROUNDUP(I7/3,0)</f>
        <v>1</v>
      </c>
      <c r="K7" s="14" t="s">
        <v>69</v>
      </c>
      <c r="L7" s="16" t="s">
        <v>67</v>
      </c>
      <c r="M7" s="6" t="s">
        <v>7</v>
      </c>
    </row>
    <row r="8" customFormat="false" ht="25.5" hidden="false" customHeight="true" outlineLevel="0" collapsed="false">
      <c r="A8" s="16" t="n">
        <v>40</v>
      </c>
      <c r="B8" s="17" t="n">
        <v>1</v>
      </c>
      <c r="C8" s="14" t="s">
        <v>64</v>
      </c>
      <c r="D8" s="18" t="n">
        <f aca="false">B8*120</f>
        <v>120</v>
      </c>
      <c r="E8" s="19" t="n">
        <f aca="false">D8/A8</f>
        <v>3</v>
      </c>
      <c r="F8" s="14" t="s">
        <v>65</v>
      </c>
      <c r="G8" s="20" t="n">
        <v>1.5</v>
      </c>
      <c r="H8" s="21" t="n">
        <f aca="false">A8*G8</f>
        <v>60</v>
      </c>
      <c r="I8" s="22" t="n">
        <f aca="false">A8^2*(G8/1000)</f>
        <v>2.4</v>
      </c>
      <c r="J8" s="18" t="n">
        <f aca="false">ROUNDUP(I8/3,0)</f>
        <v>1</v>
      </c>
      <c r="K8" s="14" t="s">
        <v>69</v>
      </c>
      <c r="L8" s="16" t="s">
        <v>67</v>
      </c>
      <c r="M8" s="6" t="s">
        <v>7</v>
      </c>
    </row>
    <row r="9" customFormat="false" ht="25.5" hidden="false" customHeight="true" outlineLevel="0" collapsed="false">
      <c r="A9" s="16" t="n">
        <v>50</v>
      </c>
      <c r="B9" s="17" t="n">
        <v>1</v>
      </c>
      <c r="C9" s="14" t="s">
        <v>64</v>
      </c>
      <c r="D9" s="18" t="n">
        <f aca="false">B9*120</f>
        <v>120</v>
      </c>
      <c r="E9" s="19" t="n">
        <f aca="false">D9/A9</f>
        <v>2.4</v>
      </c>
      <c r="F9" s="14" t="s">
        <v>65</v>
      </c>
      <c r="G9" s="20" t="n">
        <v>1</v>
      </c>
      <c r="H9" s="21" t="n">
        <f aca="false">A9*G9</f>
        <v>50</v>
      </c>
      <c r="I9" s="22" t="n">
        <f aca="false">A9^2*(G9/1000)</f>
        <v>2.5</v>
      </c>
      <c r="J9" s="18" t="n">
        <f aca="false">ROUNDUP(I9/3,0)</f>
        <v>1</v>
      </c>
      <c r="K9" s="14" t="s">
        <v>70</v>
      </c>
      <c r="L9" s="16" t="s">
        <v>67</v>
      </c>
      <c r="M9" s="6" t="s">
        <v>7</v>
      </c>
    </row>
    <row r="10" customFormat="false" ht="25.5" hidden="false" customHeight="true" outlineLevel="0" collapsed="false">
      <c r="A10" s="16" t="n">
        <v>80</v>
      </c>
      <c r="B10" s="17" t="n">
        <v>2</v>
      </c>
      <c r="C10" s="14" t="s">
        <v>64</v>
      </c>
      <c r="D10" s="18" t="n">
        <f aca="false">B10*120</f>
        <v>240</v>
      </c>
      <c r="E10" s="19" t="n">
        <f aca="false">D10/A10</f>
        <v>3</v>
      </c>
      <c r="F10" s="14" t="s">
        <v>65</v>
      </c>
      <c r="G10" s="20" t="n">
        <v>0.5</v>
      </c>
      <c r="H10" s="21" t="n">
        <f aca="false">A10*G10</f>
        <v>40</v>
      </c>
      <c r="I10" s="22" t="n">
        <f aca="false">A10^2*(G10/1000)</f>
        <v>3.2</v>
      </c>
      <c r="J10" s="18" t="n">
        <f aca="false">ROUNDUP(I10/3,0)</f>
        <v>2</v>
      </c>
      <c r="K10" s="14" t="s">
        <v>70</v>
      </c>
      <c r="L10" s="16" t="s">
        <v>67</v>
      </c>
      <c r="M10" s="6" t="s">
        <v>7</v>
      </c>
    </row>
    <row r="11" customFormat="false" ht="25.5" hidden="false" customHeight="true" outlineLevel="0" collapsed="false">
      <c r="A11" s="16" t="n">
        <v>120</v>
      </c>
      <c r="B11" s="17" t="n">
        <v>3</v>
      </c>
      <c r="C11" s="14" t="s">
        <v>64</v>
      </c>
      <c r="D11" s="18" t="n">
        <f aca="false">B11*120</f>
        <v>360</v>
      </c>
      <c r="E11" s="19" t="n">
        <f aca="false">D11/A11</f>
        <v>3</v>
      </c>
      <c r="F11" s="14" t="s">
        <v>65</v>
      </c>
      <c r="G11" s="20" t="n">
        <v>0.5</v>
      </c>
      <c r="H11" s="21" t="n">
        <f aca="false">A11*G11</f>
        <v>60</v>
      </c>
      <c r="I11" s="22" t="n">
        <f aca="false">A11^2*(G11/1000)</f>
        <v>7.2</v>
      </c>
      <c r="J11" s="18" t="n">
        <f aca="false">ROUNDUP(I11/3,0)</f>
        <v>3</v>
      </c>
      <c r="K11" s="14" t="s">
        <v>70</v>
      </c>
      <c r="L11" s="16" t="s">
        <v>67</v>
      </c>
      <c r="M11" s="6" t="s">
        <v>7</v>
      </c>
    </row>
    <row r="13" customFormat="false" ht="60" hidden="false" customHeight="true" outlineLevel="0" collapsed="false">
      <c r="A13" s="23" t="s">
        <v>71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</row>
  </sheetData>
  <mergeCells count="3">
    <mergeCell ref="A1:M1"/>
    <mergeCell ref="A2:M2"/>
    <mergeCell ref="A13:M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3" min="3" style="0" width="34"/>
    <col collapsed="false" customWidth="true" hidden="false" outlineLevel="0" max="4" min="4" style="0" width="46"/>
    <col collapsed="false" customWidth="true" hidden="false" outlineLevel="0" max="5" min="5" style="0" width="16"/>
    <col collapsed="false" customWidth="true" hidden="false" outlineLevel="0" max="6" min="6" style="0" width="22"/>
  </cols>
  <sheetData>
    <row r="1" customFormat="false" ht="25.5" hidden="false" customHeight="true" outlineLevel="0" collapsed="false">
      <c r="A1" s="1" t="s">
        <v>72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73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13" t="s">
        <v>20</v>
      </c>
      <c r="B4" s="13" t="s">
        <v>74</v>
      </c>
      <c r="C4" s="13" t="s">
        <v>75</v>
      </c>
      <c r="D4" s="13" t="s">
        <v>76</v>
      </c>
      <c r="E4" s="13" t="s">
        <v>41</v>
      </c>
      <c r="F4" s="13" t="s">
        <v>42</v>
      </c>
    </row>
    <row r="5" customFormat="false" ht="57.75" hidden="false" customHeight="true" outlineLevel="0" collapsed="false">
      <c r="A5" s="14" t="s">
        <v>77</v>
      </c>
      <c r="B5" s="14" t="s">
        <v>78</v>
      </c>
      <c r="C5" s="14" t="s">
        <v>79</v>
      </c>
      <c r="D5" s="14" t="s">
        <v>80</v>
      </c>
      <c r="E5" s="14" t="s">
        <v>81</v>
      </c>
      <c r="F5" s="8" t="s">
        <v>11</v>
      </c>
    </row>
    <row r="6" customFormat="false" ht="57.75" hidden="false" customHeight="true" outlineLevel="0" collapsed="false">
      <c r="A6" s="14" t="s">
        <v>82</v>
      </c>
      <c r="B6" s="14" t="s">
        <v>83</v>
      </c>
      <c r="C6" s="14" t="s">
        <v>84</v>
      </c>
      <c r="D6" s="14" t="s">
        <v>85</v>
      </c>
      <c r="E6" s="14" t="s">
        <v>81</v>
      </c>
      <c r="F6" s="7" t="s">
        <v>9</v>
      </c>
    </row>
    <row r="7" customFormat="false" ht="57.75" hidden="false" customHeight="true" outlineLevel="0" collapsed="false">
      <c r="A7" s="14" t="s">
        <v>86</v>
      </c>
      <c r="B7" s="14" t="s">
        <v>87</v>
      </c>
      <c r="C7" s="14" t="s">
        <v>88</v>
      </c>
      <c r="D7" s="14" t="s">
        <v>89</v>
      </c>
      <c r="E7" s="14" t="s">
        <v>81</v>
      </c>
      <c r="F7" s="7" t="s">
        <v>9</v>
      </c>
    </row>
    <row r="8" customFormat="false" ht="57.75" hidden="false" customHeight="true" outlineLevel="0" collapsed="false">
      <c r="A8" s="14" t="s">
        <v>90</v>
      </c>
      <c r="B8" s="14" t="s">
        <v>91</v>
      </c>
      <c r="C8" s="14" t="s">
        <v>92</v>
      </c>
      <c r="D8" s="14" t="s">
        <v>93</v>
      </c>
      <c r="E8" s="14" t="s">
        <v>81</v>
      </c>
      <c r="F8" s="8" t="s">
        <v>11</v>
      </c>
    </row>
    <row r="9" customFormat="false" ht="57.75" hidden="false" customHeight="true" outlineLevel="0" collapsed="false">
      <c r="A9" s="14" t="s">
        <v>94</v>
      </c>
      <c r="B9" s="14" t="s">
        <v>95</v>
      </c>
      <c r="C9" s="14" t="s">
        <v>92</v>
      </c>
      <c r="D9" s="14" t="s">
        <v>96</v>
      </c>
      <c r="E9" s="14" t="s">
        <v>81</v>
      </c>
      <c r="F9" s="8" t="s">
        <v>11</v>
      </c>
    </row>
    <row r="10" customFormat="false" ht="57.75" hidden="false" customHeight="true" outlineLevel="0" collapsed="false">
      <c r="A10" s="14" t="s">
        <v>97</v>
      </c>
      <c r="B10" s="14" t="s">
        <v>98</v>
      </c>
      <c r="C10" s="14" t="s">
        <v>79</v>
      </c>
      <c r="D10" s="14" t="s">
        <v>99</v>
      </c>
      <c r="E10" s="14" t="s">
        <v>81</v>
      </c>
      <c r="F10" s="8" t="s">
        <v>11</v>
      </c>
    </row>
    <row r="11" customFormat="false" ht="57.75" hidden="false" customHeight="true" outlineLevel="0" collapsed="false">
      <c r="A11" s="14" t="s">
        <v>100</v>
      </c>
      <c r="B11" s="14" t="s">
        <v>101</v>
      </c>
      <c r="C11" s="14" t="s">
        <v>102</v>
      </c>
      <c r="D11" s="14" t="s">
        <v>103</v>
      </c>
      <c r="E11" s="14" t="s">
        <v>104</v>
      </c>
      <c r="F11" s="6" t="s">
        <v>7</v>
      </c>
    </row>
    <row r="12" customFormat="false" ht="57.75" hidden="false" customHeight="true" outlineLevel="0" collapsed="false">
      <c r="A12" s="14" t="s">
        <v>105</v>
      </c>
      <c r="B12" s="14" t="s">
        <v>106</v>
      </c>
      <c r="C12" s="14" t="s">
        <v>107</v>
      </c>
      <c r="D12" s="14" t="s">
        <v>108</v>
      </c>
      <c r="E12" s="14" t="s">
        <v>109</v>
      </c>
      <c r="F12" s="6" t="s">
        <v>7</v>
      </c>
    </row>
    <row r="13" customFormat="false" ht="57.75" hidden="false" customHeight="true" outlineLevel="0" collapsed="false">
      <c r="A13" s="14" t="s">
        <v>110</v>
      </c>
      <c r="B13" s="14" t="s">
        <v>111</v>
      </c>
      <c r="C13" s="14" t="s">
        <v>112</v>
      </c>
      <c r="D13" s="14" t="s">
        <v>113</v>
      </c>
      <c r="E13" s="14" t="s">
        <v>114</v>
      </c>
      <c r="F13" s="6" t="s">
        <v>7</v>
      </c>
    </row>
    <row r="14" customFormat="false" ht="57.75" hidden="false" customHeight="true" outlineLevel="0" collapsed="false">
      <c r="A14" s="14" t="s">
        <v>115</v>
      </c>
      <c r="B14" s="14" t="s">
        <v>116</v>
      </c>
      <c r="C14" s="14" t="s">
        <v>112</v>
      </c>
      <c r="D14" s="14" t="s">
        <v>117</v>
      </c>
      <c r="E14" s="14" t="s">
        <v>118</v>
      </c>
      <c r="F14" s="6" t="s">
        <v>7</v>
      </c>
    </row>
    <row r="15" customFormat="false" ht="57.75" hidden="false" customHeight="true" outlineLevel="0" collapsed="false">
      <c r="A15" s="14" t="s">
        <v>119</v>
      </c>
      <c r="B15" s="14" t="s">
        <v>120</v>
      </c>
      <c r="C15" s="14" t="s">
        <v>121</v>
      </c>
      <c r="D15" s="14" t="s">
        <v>122</v>
      </c>
      <c r="E15" s="14" t="s">
        <v>123</v>
      </c>
      <c r="F15" s="6" t="s">
        <v>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46"/>
    <col collapsed="false" customWidth="true" hidden="false" outlineLevel="0" max="5" min="5" style="0" width="16"/>
    <col collapsed="false" customWidth="true" hidden="false" outlineLevel="0" max="6" min="6" style="0" width="22"/>
  </cols>
  <sheetData>
    <row r="1" customFormat="false" ht="25.5" hidden="false" customHeight="true" outlineLevel="0" collapsed="false">
      <c r="A1" s="1" t="s">
        <v>124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125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13" t="s">
        <v>126</v>
      </c>
      <c r="B4" s="13" t="s">
        <v>127</v>
      </c>
      <c r="C4" s="13" t="s">
        <v>75</v>
      </c>
      <c r="D4" s="13" t="s">
        <v>128</v>
      </c>
      <c r="E4" s="13" t="s">
        <v>41</v>
      </c>
      <c r="F4" s="13" t="s">
        <v>42</v>
      </c>
    </row>
    <row r="5" customFormat="false" ht="66" hidden="false" customHeight="true" outlineLevel="0" collapsed="false">
      <c r="A5" s="14" t="s">
        <v>129</v>
      </c>
      <c r="B5" s="14" t="s">
        <v>130</v>
      </c>
      <c r="C5" s="14" t="s">
        <v>79</v>
      </c>
      <c r="D5" s="14" t="s">
        <v>131</v>
      </c>
      <c r="E5" s="14" t="s">
        <v>132</v>
      </c>
      <c r="F5" s="8" t="s">
        <v>11</v>
      </c>
    </row>
    <row r="6" customFormat="false" ht="66" hidden="false" customHeight="true" outlineLevel="0" collapsed="false">
      <c r="A6" s="14" t="s">
        <v>133</v>
      </c>
      <c r="B6" s="14" t="s">
        <v>134</v>
      </c>
      <c r="C6" s="14" t="s">
        <v>135</v>
      </c>
      <c r="D6" s="14" t="s">
        <v>136</v>
      </c>
      <c r="E6" s="14" t="s">
        <v>137</v>
      </c>
      <c r="F6" s="6" t="s">
        <v>7</v>
      </c>
    </row>
    <row r="7" customFormat="false" ht="66" hidden="false" customHeight="true" outlineLevel="0" collapsed="false">
      <c r="A7" s="14" t="s">
        <v>138</v>
      </c>
      <c r="B7" s="14" t="s">
        <v>139</v>
      </c>
      <c r="C7" s="14" t="s">
        <v>135</v>
      </c>
      <c r="D7" s="14" t="s">
        <v>140</v>
      </c>
      <c r="E7" s="14" t="s">
        <v>137</v>
      </c>
      <c r="F7" s="6" t="s">
        <v>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16"/>
    <col collapsed="false" customWidth="true" hidden="false" outlineLevel="0" max="7" min="7" style="0" width="22"/>
  </cols>
  <sheetData>
    <row r="1" customFormat="false" ht="25.5" hidden="false" customHeight="true" outlineLevel="0" collapsed="false">
      <c r="A1" s="1" t="s">
        <v>141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" t="s">
        <v>142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13" t="s">
        <v>34</v>
      </c>
      <c r="B4" s="13" t="s">
        <v>143</v>
      </c>
      <c r="C4" s="13" t="s">
        <v>144</v>
      </c>
      <c r="D4" s="13" t="s">
        <v>145</v>
      </c>
      <c r="E4" s="13" t="s">
        <v>76</v>
      </c>
      <c r="F4" s="13" t="s">
        <v>41</v>
      </c>
      <c r="G4" s="13" t="s">
        <v>42</v>
      </c>
    </row>
    <row r="5" customFormat="false" ht="66" hidden="false" customHeight="true" outlineLevel="0" collapsed="false">
      <c r="A5" s="14" t="s">
        <v>79</v>
      </c>
      <c r="B5" s="14" t="s">
        <v>132</v>
      </c>
      <c r="C5" s="14" t="s">
        <v>79</v>
      </c>
      <c r="D5" s="14" t="s">
        <v>146</v>
      </c>
      <c r="E5" s="14" t="s">
        <v>147</v>
      </c>
      <c r="F5" s="14" t="s">
        <v>132</v>
      </c>
      <c r="G5" s="8" t="s">
        <v>11</v>
      </c>
    </row>
    <row r="6" customFormat="false" ht="66" hidden="false" customHeight="true" outlineLevel="0" collapsed="false">
      <c r="A6" s="14" t="s">
        <v>148</v>
      </c>
      <c r="B6" s="14" t="s">
        <v>149</v>
      </c>
      <c r="C6" s="14" t="s">
        <v>150</v>
      </c>
      <c r="D6" s="14" t="s">
        <v>151</v>
      </c>
      <c r="E6" s="14" t="s">
        <v>152</v>
      </c>
      <c r="F6" s="14" t="s">
        <v>153</v>
      </c>
      <c r="G6" s="6" t="s">
        <v>7</v>
      </c>
    </row>
    <row r="7" customFormat="false" ht="66" hidden="false" customHeight="true" outlineLevel="0" collapsed="false">
      <c r="A7" s="14" t="s">
        <v>154</v>
      </c>
      <c r="B7" s="14" t="s">
        <v>155</v>
      </c>
      <c r="C7" s="14" t="s">
        <v>156</v>
      </c>
      <c r="D7" s="14" t="s">
        <v>146</v>
      </c>
      <c r="E7" s="14" t="s">
        <v>157</v>
      </c>
      <c r="F7" s="14" t="s">
        <v>158</v>
      </c>
      <c r="G7" s="8" t="s">
        <v>11</v>
      </c>
    </row>
    <row r="8" customFormat="false" ht="66" hidden="false" customHeight="true" outlineLevel="0" collapsed="false">
      <c r="A8" s="14" t="s">
        <v>159</v>
      </c>
      <c r="B8" s="14" t="s">
        <v>160</v>
      </c>
      <c r="C8" s="14" t="s">
        <v>161</v>
      </c>
      <c r="D8" s="14" t="s">
        <v>151</v>
      </c>
      <c r="E8" s="14" t="s">
        <v>162</v>
      </c>
      <c r="F8" s="14" t="s">
        <v>163</v>
      </c>
      <c r="G8" s="6" t="s">
        <v>7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2026-08-02T04:52:37Z</dcterms:created>
  <dc:creator>openpyxl</dc:creator>
  <dc:description/>
  <dc:language>en-US</dc:language>
  <cp:lastModifiedBy/>
  <dcterms:modified xsi:type="dcterms:W3CDTF">2026-08-02T04:52:37Z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