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gend" sheetId="1" state="visible" r:id="rId1"/>
    <sheet xmlns:r="http://schemas.openxmlformats.org/officeDocument/2006/relationships" name="Voltage" sheetId="2" state="visible" r:id="rId2"/>
    <sheet xmlns:r="http://schemas.openxmlformats.org/officeDocument/2006/relationships" name="Amperage" sheetId="3" state="visible" r:id="rId3"/>
    <sheet xmlns:r="http://schemas.openxmlformats.org/officeDocument/2006/relationships" name="Motor" sheetId="4" state="visible" r:id="rId4"/>
    <sheet xmlns:r="http://schemas.openxmlformats.org/officeDocument/2006/relationships" name="Shaft Sensor" sheetId="5" state="visible" r:id="rId5"/>
    <sheet xmlns:r="http://schemas.openxmlformats.org/officeDocument/2006/relationships" name="Holding Brake" sheetId="6" state="visible" r:id="rId6"/>
    <sheet xmlns:r="http://schemas.openxmlformats.org/officeDocument/2006/relationships" name="Protocol" sheetId="7" state="visible" r:id="rId7"/>
    <sheet xmlns:r="http://schemas.openxmlformats.org/officeDocument/2006/relationships" name="Control" sheetId="8" state="visible" r:id="rId8"/>
    <sheet xmlns:r="http://schemas.openxmlformats.org/officeDocument/2006/relationships" name="EMI Hardening" sheetId="9" state="visible" r:id="rId9"/>
    <sheet xmlns:r="http://schemas.openxmlformats.org/officeDocument/2006/relationships" name="Wire Egress" sheetId="10" state="visible" r:id="rId10"/>
    <sheet xmlns:r="http://schemas.openxmlformats.org/officeDocument/2006/relationships" name="Form Factor"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0&quot; V&quot;"/>
    <numFmt numFmtId="165" formatCode="0.00\x"/>
    <numFmt numFmtId="166" formatCode="0.000"/>
    <numFmt numFmtId="167" formatCode="0.0"/>
  </numFmts>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F1F1F"/>
      <sz val="16"/>
    </font>
    <font>
      <name val="Arial"/>
      <charset val="1"/>
      <family val="0"/>
      <i val="1"/>
      <color rgb="FF595959"/>
      <sz val="10"/>
    </font>
    <font>
      <name val="Arial"/>
      <charset val="1"/>
      <family val="0"/>
      <b val="1"/>
      <sz val="10"/>
    </font>
    <font>
      <name val="Arial"/>
      <charset val="1"/>
      <family val="0"/>
      <sz val="10"/>
    </font>
    <font>
      <name val="Arial"/>
      <charset val="1"/>
      <family val="0"/>
      <i val="1"/>
      <color rgb="FF9C0006"/>
      <sz val="10"/>
    </font>
    <font>
      <name val="Cambria"/>
      <charset val="1"/>
      <family val="0"/>
      <sz val="10"/>
    </font>
    <font>
      <name val="Cambria"/>
      <charset val="1"/>
      <family val="0"/>
      <i val="1"/>
      <sz val="10"/>
    </font>
    <font>
      <name val="Arial"/>
      <charset val="1"/>
      <family val="0"/>
      <color rgb="FF0000FF"/>
      <sz val="10"/>
    </font>
    <font>
      <name val="Arial"/>
      <charset val="1"/>
      <family val="0"/>
      <b val="1"/>
      <color rgb="FFFFFFFF"/>
      <sz val="10"/>
    </font>
    <font>
      <name val="Arial"/>
      <charset val="1"/>
      <family val="0"/>
      <color rgb="FF000000"/>
      <sz val="10"/>
    </font>
    <font>
      <name val="Arial"/>
      <family val="2"/>
      <sz val="10"/>
    </font>
    <font>
      <name val="Arial"/>
      <charset val="1"/>
      <family val="0"/>
      <i val="1"/>
      <color rgb="FF595959"/>
      <sz val="9"/>
    </font>
    <font>
      <name val="Cambria"/>
      <charset val="1"/>
      <family val="0"/>
      <b val="1"/>
      <sz val="16"/>
    </font>
    <font>
      <name val="Cambria"/>
      <charset val="1"/>
      <family val="0"/>
      <b val="1"/>
      <color rgb="FFFFFFFF"/>
      <sz val="10"/>
    </font>
    <font>
      <b val="1"/>
      <sz val="16"/>
    </font>
    <font>
      <sz val="10"/>
    </font>
    <font>
      <b val="1"/>
      <color rgb="FFFFFFFF"/>
      <sz val="10"/>
    </font>
    <font>
      <i val="1"/>
      <sz val="10"/>
    </font>
  </fonts>
  <fills count="8">
    <fill>
      <patternFill/>
    </fill>
    <fill>
      <patternFill patternType="gray125"/>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rgb="FFD9D9D9"/>
        <bgColor rgb="FFC6EFCE"/>
      </patternFill>
    </fill>
    <fill>
      <patternFill patternType="solid">
        <fgColor rgb="FF2F5597"/>
        <bgColor rgb="FF595959"/>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0" applyAlignment="1" pivotButton="0" quotePrefix="0" xfId="0">
      <alignment horizontal="left" vertical="top" wrapText="1"/>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left" vertical="top" wrapText="1"/>
    </xf>
    <xf numFmtId="0" fontId="11" fillId="0" borderId="0" applyAlignment="1" pivotButton="0" quotePrefix="0" xfId="0">
      <alignment horizontal="general" vertical="bottom"/>
    </xf>
    <xf numFmtId="0" fontId="12" fillId="6" borderId="1" applyAlignment="1" pivotButton="0" quotePrefix="0" xfId="0">
      <alignment horizontal="center" vertical="center" wrapText="1"/>
    </xf>
    <xf numFmtId="0" fontId="7" fillId="0" borderId="1" applyAlignment="1" pivotButton="0" quotePrefix="0" xfId="0">
      <alignment horizontal="left" vertical="top" wrapText="1"/>
    </xf>
    <xf numFmtId="164" fontId="13" fillId="0" borderId="1" applyAlignment="1" pivotButton="0" quotePrefix="0" xfId="0">
      <alignment horizontal="left" vertical="top" wrapText="1"/>
    </xf>
    <xf numFmtId="0" fontId="7"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0" borderId="1" applyAlignment="1" pivotButton="0" quotePrefix="0" xfId="0">
      <alignment horizontal="center" vertical="center" wrapText="1"/>
    </xf>
    <xf numFmtId="165" fontId="13" fillId="0" borderId="1" applyAlignment="1" pivotButton="0" quotePrefix="0" xfId="0">
      <alignment horizontal="center" vertical="center" wrapText="1"/>
    </xf>
    <xf numFmtId="166" fontId="11" fillId="0" borderId="1" applyAlignment="1" pivotButton="0" quotePrefix="0" xfId="0">
      <alignment horizontal="center" vertical="center" wrapText="1"/>
    </xf>
    <xf numFmtId="167" fontId="13" fillId="0" borderId="1" applyAlignment="1" pivotButton="0" quotePrefix="0" xfId="0">
      <alignment horizontal="center" vertical="center" wrapText="1"/>
    </xf>
    <xf numFmtId="2" fontId="13" fillId="0" borderId="1" applyAlignment="1" pivotButton="0" quotePrefix="0" xfId="0">
      <alignment horizontal="center" vertical="center" wrapText="1"/>
    </xf>
    <xf numFmtId="0" fontId="15" fillId="0" borderId="0" applyAlignment="1" pivotButton="0" quotePrefix="0" xfId="0">
      <alignment horizontal="left" vertical="top" wrapText="1"/>
    </xf>
    <xf numFmtId="0" fontId="16" fillId="0" borderId="0" applyAlignment="1" pivotButton="0" quotePrefix="0" xfId="0">
      <alignment horizontal="general" vertical="center"/>
    </xf>
    <xf numFmtId="0" fontId="17" fillId="6"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top" wrapText="1"/>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0" applyAlignment="1" pivotButton="0" quotePrefix="0" xfId="0">
      <alignment horizontal="left" vertical="top" wrapText="1"/>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left" vertical="top" wrapText="1"/>
    </xf>
    <xf numFmtId="0" fontId="11" fillId="0" borderId="0" applyAlignment="1" pivotButton="0" quotePrefix="0" xfId="0">
      <alignment horizontal="general" vertical="bottom"/>
    </xf>
    <xf numFmtId="0" fontId="12" fillId="6" borderId="1" applyAlignment="1" pivotButton="0" quotePrefix="0" xfId="0">
      <alignment horizontal="center" vertical="center" wrapText="1"/>
    </xf>
    <xf numFmtId="0" fontId="7" fillId="0" borderId="1" applyAlignment="1" pivotButton="0" quotePrefix="0" xfId="0">
      <alignment horizontal="left" vertical="top" wrapText="1"/>
    </xf>
    <xf numFmtId="164" fontId="13" fillId="0" borderId="1" applyAlignment="1" pivotButton="0" quotePrefix="0" xfId="0">
      <alignment horizontal="left" vertical="top" wrapText="1"/>
    </xf>
    <xf numFmtId="0" fontId="7"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0" borderId="1" applyAlignment="1" pivotButton="0" quotePrefix="0" xfId="0">
      <alignment horizontal="center" vertical="center" wrapText="1"/>
    </xf>
    <xf numFmtId="165" fontId="13" fillId="0" borderId="1" applyAlignment="1" pivotButton="0" quotePrefix="0" xfId="0">
      <alignment horizontal="center" vertical="center" wrapText="1"/>
    </xf>
    <xf numFmtId="166" fontId="11" fillId="0" borderId="1" applyAlignment="1" pivotButton="0" quotePrefix="0" xfId="0">
      <alignment horizontal="center" vertical="center" wrapText="1"/>
    </xf>
    <xf numFmtId="167" fontId="13" fillId="0" borderId="1" applyAlignment="1" pivotButton="0" quotePrefix="0" xfId="0">
      <alignment horizontal="center" vertical="center" wrapText="1"/>
    </xf>
    <xf numFmtId="2" fontId="13" fillId="0" borderId="1" applyAlignment="1" pivotButton="0" quotePrefix="0" xfId="0">
      <alignment horizontal="center" vertical="center" wrapText="1"/>
    </xf>
    <xf numFmtId="0" fontId="15" fillId="0" borderId="0" applyAlignment="1" pivotButton="0" quotePrefix="0" xfId="0">
      <alignment horizontal="left" vertical="top" wrapText="1"/>
    </xf>
    <xf numFmtId="0" fontId="16" fillId="0" borderId="0" applyAlignment="1" pivotButton="0" quotePrefix="0" xfId="0">
      <alignment horizontal="general" vertical="center"/>
    </xf>
    <xf numFmtId="0" fontId="17" fillId="6" borderId="0" applyAlignment="1" pivotButton="0" quotePrefix="0" xfId="0">
      <alignment horizontal="general" vertical="center" wrapText="1"/>
    </xf>
    <xf numFmtId="0" fontId="18" fillId="0" borderId="0" applyAlignment="1" pivotButton="0" quotePrefix="0" xfId="0">
      <alignment vertical="center"/>
    </xf>
    <xf numFmtId="0" fontId="19" fillId="0" borderId="0" pivotButton="0" quotePrefix="0" xfId="0"/>
    <xf numFmtId="0" fontId="20" fillId="7" borderId="0" applyAlignment="1" pivotButton="0" quotePrefix="0" xfId="0">
      <alignment vertical="center" wrapText="1"/>
    </xf>
    <xf numFmtId="0" fontId="0" fillId="0" borderId="0" applyAlignment="1" pivotButton="0" quotePrefix="0" xfId="0">
      <alignment vertical="top" wrapText="1"/>
    </xf>
    <xf numFmtId="0" fontId="19" fillId="0" borderId="0" applyAlignment="1" pivotButton="0" quotePrefix="0" xfId="0">
      <alignment vertical="top" wrapText="1"/>
    </xf>
    <xf numFmtId="0" fontId="21" fillId="0" borderId="0" pivotButton="0" quotePrefix="0" xfId="0"/>
    <xf numFmtId="0" fontId="1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597"/>
      <rgbColor rgb="FF1F1F1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Unknown Author</author>
  </authors>
  <commentList>
    <comment ref="B5" authorId="0" shapeId="0">
      <text>
        <t>Candidate cell -- not yet selected in BOM. See REFERENCES.md [14]. Status: Candidate (unverified) -- live fetch blocked HTTP 403, 2026-08-02.</t>
      </text>
    </comment>
    <comment ref="B8" authorId="0" shapeId="0">
      <text>
        <t>Cutoff voltage is cell-model dependent (2.5-3.0 V/cell across candidate cells researched). Kokam SLPB65216216 [14] cross-check shows 2.7V/cell. Re-derive against the cell actually selected at BOM finalization (TODO.md 10.2).</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4296875" defaultRowHeight="15" customHeight="1" zeroHeight="0" outlineLevelRow="0"/>
  <cols>
    <col width="24" customWidth="1" style="30" min="1" max="1"/>
    <col width="20" customWidth="1" style="30" min="3" max="6"/>
  </cols>
  <sheetData>
    <row r="1" ht="25.5" customHeight="1" s="31">
      <c r="A1" s="32" t="inlineStr">
        <is>
          <t>Open-Secure-ESC — Design Option Decision Matrix</t>
        </is>
      </c>
    </row>
    <row r="2" ht="15.75" customHeight="1" s="31">
      <c r="A2" s="33" t="inlineStr">
        <is>
          <t>Generated 2026-08-02. Governed by AGENTS.md / REFERENCES.md / TODO.md in the repo. This workbook is a derived view — the repo files are the source of truth.</t>
        </is>
      </c>
    </row>
    <row r="3"/>
    <row r="4" ht="48" customHeight="1" s="31">
      <c r="A4" s="34" t="inlineStr">
        <is>
          <t>Purpose</t>
        </is>
      </c>
      <c r="B4" s="35" t="inlineStr">
        <is>
          <t>One sheet per README.md build axis (Voltage, Amperage, Protocol, Control, EMI Hardening). Each row is one build option; columns show the workflow steps and BOM component(s) that option requires, with REFERENCES.md citation tags and a verification status.</t>
        </is>
      </c>
    </row>
    <row r="5"/>
    <row r="6" ht="15" customHeight="1" s="31">
      <c r="A6" s="34" t="inlineStr">
        <is>
          <t>Status legend</t>
        </is>
      </c>
    </row>
    <row r="7" ht="42" customHeight="1" s="31">
      <c r="A7" s="36" t="inlineStr">
        <is>
          <t>Verified (local PDF)</t>
        </is>
      </c>
      <c r="B7" s="35" t="inlineStr">
        <is>
          <t>A local, directly-verified PDF copy exists in docs/datasheets/ and page/section citations were read from it (e.g. [1] MSPM0G3507, [2] SLB9672).</t>
        </is>
      </c>
    </row>
    <row r="8" ht="42" customHeight="1" s="31">
      <c r="A8" s="37" t="inlineStr">
        <is>
          <t>Candidate (unverified)</t>
        </is>
      </c>
      <c r="B8" s="35" t="inlineStr">
        <is>
          <t>A real part/standard was identified and cross-corroborated via 2+ independent secondary sources (distributor listings, search-indexed excerpts), but this session's live-fetch tool (WebFetch) returned HTTP 403 for every domain tried, so no primary PDF was opened directly and no local copy exists yet. Not yet selected in a bill of materials.</t>
        </is>
      </c>
    </row>
    <row r="9" ht="42" customHeight="1" s="31">
      <c r="A9" s="38" t="inlineStr">
        <is>
          <t>Open / unresolved</t>
        </is>
      </c>
      <c r="B9" s="35" t="inlineStr">
        <is>
          <t>No specific part or authoritative spec has been sourced yet; tracked as an open TODO.md item.</t>
        </is>
      </c>
    </row>
    <row r="10" ht="42" customHeight="1" s="31">
      <c r="A10" s="39" t="inlineStr">
        <is>
          <t>No part needed</t>
        </is>
      </c>
      <c r="B10" s="35" t="inlineStr">
        <is>
          <t>The MCU's own native peripheral (or a layout/practice-only technique) covers this option — no additional BOM line.</t>
        </is>
      </c>
    </row>
    <row r="11"/>
    <row r="12" ht="15" customHeight="1" s="31">
      <c r="A12" s="34" t="inlineStr">
        <is>
          <t>Methodology caveat</t>
        </is>
      </c>
    </row>
    <row r="13" ht="90" customHeight="1" s="31">
      <c r="A13" s="40" t="inlineStr">
        <is>
          <t>Every entry marked "Candidate (unverified)" in this workbook corresponds to REFERENCES.md tags [12]-[23], added 2026-08-02. This session's WebFetch tool returned HTTP 403 for every domain attempted -- including a neutral non-vendor control URL used as a sanity check -- so specs for those parts are corroborated via secondary sources only, not read directly from a primary datasheet PDF. Per AGENTS.md, these must not be treated as settled citations until a working fetch path or manual PDF download resolves them (see TODO.md 1.10). Do not remove this caveat until that verification pass happens.</t>
        </is>
      </c>
    </row>
    <row r="14"/>
    <row r="15" ht="15" customHeight="1" s="31">
      <c r="A15" s="34" t="inlineStr">
        <is>
          <t>Sheets in this workbook</t>
        </is>
      </c>
    </row>
    <row r="16" ht="15" customHeight="1" s="31">
      <c r="A16" s="41" t="inlineStr">
        <is>
          <t>Voltage</t>
        </is>
      </c>
      <c r="B16" s="35" t="inlineStr">
        <is>
          <t>Battery voltage tiers (2S-12S): pack nominal/max/min voltage and component-derating workflow.</t>
        </is>
      </c>
    </row>
    <row r="17" ht="15" customHeight="1" s="31">
      <c r="A17" s="41" t="inlineStr">
        <is>
          <t>Amperage</t>
        </is>
      </c>
      <c r="B17" s="35" t="inlineStr">
        <is>
          <t>Motor current tiers (10A-120A): power MOSFET, gate driver, and current-sensing BOM per tier.</t>
        </is>
      </c>
    </row>
    <row r="18" ht="15" customHeight="1" s="31">
      <c r="A18" s="41" t="inlineStr">
        <is>
          <t>Protocol</t>
        </is>
      </c>
      <c r="B18" s="35" t="inlineStr">
        <is>
          <t>The 11 communication protocol options: MCU-native vs. added-transceiver BOM and workflow.</t>
        </is>
      </c>
    </row>
    <row r="19" ht="15" customHeight="1" s="31">
      <c r="A19" s="41" t="inlineStr">
        <is>
          <t>Control</t>
        </is>
      </c>
      <c r="B19" s="35" t="inlineStr">
        <is>
          <t>The 3 control-loop topologies: feedback-sensing approach and firmware workflow.</t>
        </is>
      </c>
    </row>
    <row r="20" ht="15" customHeight="1" s="31">
      <c r="A20" s="41" t="inlineStr">
        <is>
          <t>EMI Hardening</t>
        </is>
      </c>
      <c r="B20" s="35" t="inlineStr">
        <is>
          <t>The 4 EMI tiers: governing standard(s) and BOM part (or layout-only) per tier.</t>
        </is>
      </c>
    </row>
    <row r="21" ht="285.05" customHeight="1" s="31">
      <c r="A21" s="42" t="inlineStr">
        <is>
          <t>Motor</t>
        </is>
      </c>
      <c r="B21" s="43" t="inlineStr">
        <is>
          <t>Brushed vs brushless: bridge topology, switch-position count, gate-driver part, shunt count. Changes the power stage, not just a setting.</t>
        </is>
      </c>
    </row>
    <row r="22" ht="210.4" customHeight="1" s="31">
      <c r="A22" s="42" t="inlineStr">
        <is>
          <t>Shaft Sensor</t>
        </is>
      </c>
      <c r="B22" s="43" t="inlineStr">
        <is>
          <t>Sensorless / Hall / quadrature encoder / resolver: MCU pin budget, connector, and any added IC.</t>
        </is>
      </c>
    </row>
    <row r="23"/>
    <row r="24" ht="15" customHeight="1" s="31">
      <c r="A24" s="44" t="inlineStr">
        <is>
          <t>Amended 2026-08-16: added the Motor and Shaft Sensor axis sheets. Cells reading 'TBD -- requires primary-source verification' are genuinely unsourced, not placeholders to be filled in from memory (AGENTS.md Sec.1.3).</t>
        </is>
      </c>
    </row>
    <row r="25">
      <c r="A25" s="61" t="inlineStr">
        <is>
          <t>Holding Brake</t>
        </is>
      </c>
      <c r="B25" s="63" t="inlineStr">
        <is>
          <t>None / low-side solenoid driver: actuation, fail-state (the safety property), MCU pins, driver part, connector, firmware sequencing.</t>
        </is>
      </c>
    </row>
    <row r="26"/>
    <row r="27">
      <c r="A27" s="65" t="inlineStr">
        <is>
          <t>Amended 2026-09-17: added the Holding Brake axis; resolved the Motor sheet's Brushed (DC) row (DRV8874-Q1 [63]); added the magnetic-absolute shaft-sensor row (AEAT-8800-Q24 [64]).</t>
        </is>
      </c>
    </row>
  </sheetData>
  <mergeCells count="13">
    <mergeCell ref="B4:F4"/>
    <mergeCell ref="A2:F2"/>
    <mergeCell ref="B9:F9"/>
    <mergeCell ref="B7:F7"/>
    <mergeCell ref="A13:F13"/>
    <mergeCell ref="B16:F16"/>
    <mergeCell ref="B20:F20"/>
    <mergeCell ref="B10:F10"/>
    <mergeCell ref="A1:F1"/>
    <mergeCell ref="B19:F19"/>
    <mergeCell ref="B8:F8"/>
    <mergeCell ref="B17:F17"/>
    <mergeCell ref="B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5"/>
  <sheetViews>
    <sheetView showFormulas="0" showGridLines="0" showRowColHeaders="1" showZeros="1" rightToLeft="0" tabSelected="0" showOutlineSymbols="1" defaultGridColor="1"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8" customWidth="1" style="30" min="1" max="1"/>
    <col width="12" customWidth="1" style="30" min="2" max="2"/>
    <col width="14" customWidth="1" style="30" min="3" max="3"/>
    <col width="12" customWidth="1" style="30" min="4" max="5"/>
    <col width="46" customWidth="1" style="30" min="6" max="6"/>
    <col width="40" customWidth="1" style="30" min="7" max="7"/>
    <col width="16" customWidth="1" style="30" min="8" max="8"/>
    <col width="22" customWidth="1" style="30" min="9" max="9"/>
  </cols>
  <sheetData>
    <row r="1" ht="25.5" customHeight="1" s="31">
      <c r="A1" s="32" t="inlineStr">
        <is>
          <t>Voltage Tier Decision Matrix</t>
        </is>
      </c>
    </row>
    <row r="2" ht="15.75" customHeight="1" s="31">
      <c r="A2" s="33" t="inlineStr">
        <is>
          <t>Build axis: Voltage (2S / 4S / 6S / 8S / 12S)</t>
        </is>
      </c>
    </row>
    <row r="4" ht="57" customHeight="1" s="31">
      <c r="A4" s="45" t="inlineStr">
        <is>
          <t>Per-cell assumption (candidate cell)</t>
        </is>
      </c>
    </row>
    <row r="5" ht="15" customHeight="1" s="31">
      <c r="A5" s="41" t="inlineStr">
        <is>
          <t>Cell part</t>
        </is>
      </c>
      <c r="B5" s="46" t="inlineStr">
        <is>
          <t>Molicel INR-21700-P42A [14]</t>
        </is>
      </c>
    </row>
    <row r="6" ht="15" customHeight="1" s="31">
      <c r="A6" s="41" t="inlineStr">
        <is>
          <t>Nominal V / cell</t>
        </is>
      </c>
      <c r="B6" s="46" t="n">
        <v>3.6</v>
      </c>
    </row>
    <row r="7" ht="15" customHeight="1" s="31">
      <c r="A7" s="41" t="inlineStr">
        <is>
          <t>Max (full charge) V / cell</t>
        </is>
      </c>
      <c r="B7" s="46" t="n">
        <v>4.2</v>
      </c>
    </row>
    <row r="8" ht="15" customHeight="1" s="31">
      <c r="A8" s="41" t="inlineStr">
        <is>
          <t>Min (cutoff) V / cell</t>
        </is>
      </c>
      <c r="B8" s="46" t="n">
        <v>2.5</v>
      </c>
    </row>
    <row r="10" ht="30" customHeight="1" s="31">
      <c r="A10" s="47" t="inlineStr">
        <is>
          <t>Tier</t>
        </is>
      </c>
      <c r="B10" s="47" t="inlineStr">
        <is>
          <t>Series Cells</t>
        </is>
      </c>
      <c r="C10" s="47" t="inlineStr">
        <is>
          <t>Nominal Pack V</t>
        </is>
      </c>
      <c r="D10" s="47" t="inlineStr">
        <is>
          <t>Max Pack V</t>
        </is>
      </c>
      <c r="E10" s="47" t="inlineStr">
        <is>
          <t>Min Pack V</t>
        </is>
      </c>
      <c r="F10" s="47" t="inlineStr">
        <is>
          <t>Workflow / Derating Steps</t>
        </is>
      </c>
      <c r="G10" s="47" t="inlineStr">
        <is>
          <t>BOM Components</t>
        </is>
      </c>
      <c r="H10" s="47" t="inlineStr">
        <is>
          <t>REFERENCES.md Tags</t>
        </is>
      </c>
      <c r="I10" s="47" t="inlineStr">
        <is>
          <t>Status</t>
        </is>
      </c>
    </row>
    <row r="11" ht="60" customHeight="1" s="31">
      <c r="A11" s="48" t="inlineStr">
        <is>
          <t>2S</t>
        </is>
      </c>
      <c r="B11" s="48" t="n">
        <v>2</v>
      </c>
      <c r="C11" s="49">
        <f>$B$6*B11</f>
        <v/>
      </c>
      <c r="D11" s="49">
        <f>$B$7*B11</f>
        <v/>
      </c>
      <c r="E11" s="49">
        <f>$B$8*B11</f>
        <v/>
      </c>
      <c r="F11" s="48" t="inlineStr">
        <is>
          <t>Derate FET [20] VDS and bulk-capacitor voltage rating against Max Pack V with margin (~2x recommended); verify DRV8353S [21] VM range (9-75V) spans Max Pack V; select input protection/reverse-polarity FET rated ≥ Max Pack V.</t>
        </is>
      </c>
      <c r="G11" s="48" t="inlineStr">
        <is>
          <t>Bulk input capacitor (V rating ≥ Max Pack V); shares FET [20] / gate driver [21] from Amperage sheet</t>
        </is>
      </c>
      <c r="H11" s="48" t="inlineStr">
        <is>
          <t>[14], [20], [21]</t>
        </is>
      </c>
      <c r="I11" s="37" t="inlineStr">
        <is>
          <t>Candidate (unverified)</t>
        </is>
      </c>
    </row>
    <row r="12" ht="60" customHeight="1" s="31">
      <c r="A12" s="48" t="inlineStr">
        <is>
          <t>4S</t>
        </is>
      </c>
      <c r="B12" s="48" t="n">
        <v>4</v>
      </c>
      <c r="C12" s="49">
        <f>$B$6*B12</f>
        <v/>
      </c>
      <c r="D12" s="49">
        <f>$B$7*B12</f>
        <v/>
      </c>
      <c r="E12" s="49">
        <f>$B$8*B12</f>
        <v/>
      </c>
      <c r="F12" s="48" t="inlineStr">
        <is>
          <t>Derate FET [20] VDS and bulk-capacitor voltage rating against Max Pack V with margin (~2x recommended); verify DRV8353S [21] VM range (9-75V) spans Max Pack V; select input protection/reverse-polarity FET rated ≥ Max Pack V.</t>
        </is>
      </c>
      <c r="G12" s="48" t="inlineStr">
        <is>
          <t>Bulk input capacitor (V rating ≥ Max Pack V); shares FET [20] / gate driver [21] from Amperage sheet</t>
        </is>
      </c>
      <c r="H12" s="48" t="inlineStr">
        <is>
          <t>[14], [20], [21]</t>
        </is>
      </c>
      <c r="I12" s="37" t="inlineStr">
        <is>
          <t>Candidate (unverified)</t>
        </is>
      </c>
    </row>
    <row r="13" ht="60" customHeight="1" s="31">
      <c r="A13" s="48" t="inlineStr">
        <is>
          <t>6S</t>
        </is>
      </c>
      <c r="B13" s="48" t="n">
        <v>6</v>
      </c>
      <c r="C13" s="49">
        <f>$B$6*B13</f>
        <v/>
      </c>
      <c r="D13" s="49">
        <f>$B$7*B13</f>
        <v/>
      </c>
      <c r="E13" s="49">
        <f>$B$8*B13</f>
        <v/>
      </c>
      <c r="F13" s="48" t="inlineStr">
        <is>
          <t>Derate FET [20] VDS and bulk-capacitor voltage rating against Max Pack V with margin (~2x recommended); verify DRV8353S [21] VM range (9-75V) spans Max Pack V; select input protection/reverse-polarity FET rated ≥ Max Pack V.</t>
        </is>
      </c>
      <c r="G13" s="48" t="inlineStr">
        <is>
          <t>Bulk input capacitor (V rating ≥ Max Pack V); shares FET [20] / gate driver [21] from Amperage sheet</t>
        </is>
      </c>
      <c r="H13" s="48" t="inlineStr">
        <is>
          <t>[14], [20], [21]</t>
        </is>
      </c>
      <c r="I13" s="37" t="inlineStr">
        <is>
          <t>Candidate (unverified)</t>
        </is>
      </c>
    </row>
    <row r="14" ht="60" customHeight="1" s="31">
      <c r="A14" s="48" t="inlineStr">
        <is>
          <t>8S</t>
        </is>
      </c>
      <c r="B14" s="48" t="n">
        <v>8</v>
      </c>
      <c r="C14" s="49">
        <f>$B$6*B14</f>
        <v/>
      </c>
      <c r="D14" s="49">
        <f>$B$7*B14</f>
        <v/>
      </c>
      <c r="E14" s="49">
        <f>$B$8*B14</f>
        <v/>
      </c>
      <c r="F14" s="48" t="inlineStr">
        <is>
          <t>Derate FET [20] VDS and bulk-capacitor voltage rating against Max Pack V with margin (~2x recommended); verify DRV8353S [21] VM range (9-75V) spans Max Pack V; select input protection/reverse-polarity FET rated ≥ Max Pack V.</t>
        </is>
      </c>
      <c r="G14" s="48" t="inlineStr">
        <is>
          <t>Bulk input capacitor (V rating ≥ Max Pack V); shares FET [20] / gate driver [21] from Amperage sheet</t>
        </is>
      </c>
      <c r="H14" s="48" t="inlineStr">
        <is>
          <t>[14], [20], [21]</t>
        </is>
      </c>
      <c r="I14" s="37" t="inlineStr">
        <is>
          <t>Candidate (unverified)</t>
        </is>
      </c>
    </row>
    <row r="15" ht="60" customHeight="1" s="31">
      <c r="A15" s="48" t="inlineStr">
        <is>
          <t>12S</t>
        </is>
      </c>
      <c r="B15" s="48" t="n">
        <v>12</v>
      </c>
      <c r="C15" s="49">
        <f>$B$6*B15</f>
        <v/>
      </c>
      <c r="D15" s="49">
        <f>$B$7*B15</f>
        <v/>
      </c>
      <c r="E15" s="49">
        <f>$B$8*B15</f>
        <v/>
      </c>
      <c r="F15" s="48" t="inlineStr">
        <is>
          <t>Derate FET [20] VDS and bulk-capacitor voltage rating against Max Pack V with margin (~2x recommended); verify DRV8353S [21] VM range (9-75V) spans Max Pack V; select input protection/reverse-polarity FET rated ≥ Max Pack V.</t>
        </is>
      </c>
      <c r="G15" s="48" t="inlineStr">
        <is>
          <t>Bulk input capacitor (V rating ≥ Max Pack V); shares FET [20] / gate driver [21] from Amperage sheet</t>
        </is>
      </c>
      <c r="H15" s="48" t="inlineStr">
        <is>
          <t>[14], [20], [21]</t>
        </is>
      </c>
      <c r="I15" s="37" t="inlineStr">
        <is>
          <t>Candidate (unverified)</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9" customWidth="1" style="30" min="1" max="1"/>
    <col width="14" customWidth="1" style="30" min="2" max="2"/>
    <col width="26" customWidth="1" style="30" min="3" max="3"/>
    <col width="16" customWidth="1" style="30" min="4" max="4"/>
    <col width="10" customWidth="1" style="30" min="5" max="5"/>
    <col width="26" customWidth="1" style="30" min="6" max="6"/>
    <col width="12" customWidth="1" style="30" min="7" max="10"/>
    <col width="22" customWidth="1" style="30" min="11" max="11"/>
    <col width="16" customWidth="1" style="30" min="12" max="12"/>
    <col width="22" customWidth="1" style="30" min="13" max="13"/>
  </cols>
  <sheetData>
    <row r="1" ht="25.5" customHeight="1" s="31">
      <c r="A1" s="32" t="inlineStr">
        <is>
          <t>Amperage Tier Decision Matrix</t>
        </is>
      </c>
    </row>
    <row r="2" ht="15.75" customHeight="1" s="31">
      <c r="A2" s="33" t="inlineStr">
        <is>
          <t>Build axis: Amperage (10A / 20A / 30A / 40A / 50A / 80A / 120A)</t>
        </is>
      </c>
    </row>
    <row r="4" ht="30" customHeight="1" s="31">
      <c r="A4" s="47" t="inlineStr">
        <is>
          <t>Tier (A)</t>
        </is>
      </c>
      <c r="B4" s="47" t="inlineStr">
        <is>
          <t>FET Qty / Phase Leg</t>
        </is>
      </c>
      <c r="C4" s="47" t="inlineStr">
        <is>
          <t>FET Part</t>
        </is>
      </c>
      <c r="D4" s="47" t="inlineStr">
        <is>
          <t>FET Total Rated Capacity (A)</t>
        </is>
      </c>
      <c r="E4" s="47" t="inlineStr">
        <is>
          <t>Margin (x)</t>
        </is>
      </c>
      <c r="F4" s="47" t="inlineStr">
        <is>
          <t>Gate Driver Part</t>
        </is>
      </c>
      <c r="G4" s="47" t="inlineStr">
        <is>
          <t>Shunt R (mΩ)</t>
        </is>
      </c>
      <c r="H4" s="47" t="inlineStr">
        <is>
          <t>Shunt Drop (mV)</t>
        </is>
      </c>
      <c r="I4" s="47" t="inlineStr">
        <is>
          <t>Shunt Power (W)</t>
        </is>
      </c>
      <c r="J4" s="47" t="inlineStr">
        <is>
          <t>Shunt Qty Needed</t>
        </is>
      </c>
      <c r="K4" s="47" t="inlineStr">
        <is>
          <t>Current-Sense Amp (Gain)</t>
        </is>
      </c>
      <c r="L4" s="47" t="inlineStr">
        <is>
          <t>REFERENCES.md Tags</t>
        </is>
      </c>
      <c r="M4" s="47" t="inlineStr">
        <is>
          <t>Status</t>
        </is>
      </c>
    </row>
    <row r="5" ht="25.5" customHeight="1" s="31">
      <c r="A5" s="50" t="n">
        <v>10</v>
      </c>
      <c r="B5" s="51" t="n">
        <v>1</v>
      </c>
      <c r="C5" s="48" t="inlineStr">
        <is>
          <t>Infineon IRFB4110PBF [20]</t>
        </is>
      </c>
      <c r="D5" s="52">
        <f>B5*120</f>
        <v/>
      </c>
      <c r="E5" s="53">
        <f>D5/A5</f>
        <v/>
      </c>
      <c r="F5" s="48" t="inlineStr">
        <is>
          <t>TI DRV8353S [21]</t>
        </is>
      </c>
      <c r="G5" s="54" t="n">
        <v>10</v>
      </c>
      <c r="H5" s="55">
        <f>A5*G5</f>
        <v/>
      </c>
      <c r="I5" s="56">
        <f>A5^2*(G5/1000)</f>
        <v/>
      </c>
      <c r="J5" s="52">
        <f>ROUNDUP(I5/3,0)</f>
        <v/>
      </c>
      <c r="K5" s="48" t="inlineStr">
        <is>
          <t>TI INA240 [22], 20 or 50 V/V</t>
        </is>
      </c>
      <c r="L5" s="50" t="inlineStr">
        <is>
          <t>[20], [21], [22], [23], [62], [63]</t>
        </is>
      </c>
      <c r="M5" s="37" t="inlineStr">
        <is>
          <t>Candidate (unverified)</t>
        </is>
      </c>
    </row>
    <row r="6" ht="25.5" customHeight="1" s="31">
      <c r="A6" s="50" t="n">
        <v>20</v>
      </c>
      <c r="B6" s="51" t="n">
        <v>1</v>
      </c>
      <c r="C6" s="48" t="inlineStr">
        <is>
          <t>Infineon IRFB4110PBF [20]</t>
        </is>
      </c>
      <c r="D6" s="52">
        <f>B6*120</f>
        <v/>
      </c>
      <c r="E6" s="53">
        <f>D6/A6</f>
        <v/>
      </c>
      <c r="F6" s="48" t="inlineStr">
        <is>
          <t>TI DRV8353S [21]</t>
        </is>
      </c>
      <c r="G6" s="54" t="n">
        <v>5</v>
      </c>
      <c r="H6" s="55">
        <f>A6*G6</f>
        <v/>
      </c>
      <c r="I6" s="56">
        <f>A6^2*(G6/1000)</f>
        <v/>
      </c>
      <c r="J6" s="52">
        <f>ROUNDUP(I6/3,0)</f>
        <v/>
      </c>
      <c r="K6" s="48" t="inlineStr">
        <is>
          <t>TI INA240 [22], 50 V/V</t>
        </is>
      </c>
      <c r="L6" s="50" t="inlineStr">
        <is>
          <t>[20], [21], [22], [23]</t>
        </is>
      </c>
      <c r="M6" s="37" t="inlineStr">
        <is>
          <t>Candidate (unverified)</t>
        </is>
      </c>
    </row>
    <row r="7" ht="25.5" customHeight="1" s="31">
      <c r="A7" s="50" t="n">
        <v>30</v>
      </c>
      <c r="B7" s="51" t="n">
        <v>1</v>
      </c>
      <c r="C7" s="48" t="inlineStr">
        <is>
          <t>Infineon IRFB4110PBF [20]</t>
        </is>
      </c>
      <c r="D7" s="52">
        <f>B7*120</f>
        <v/>
      </c>
      <c r="E7" s="53">
        <f>D7/A7</f>
        <v/>
      </c>
      <c r="F7" s="48" t="inlineStr">
        <is>
          <t>TI DRV8353S [21]</t>
        </is>
      </c>
      <c r="G7" s="54" t="n">
        <v>2</v>
      </c>
      <c r="H7" s="55">
        <f>A7*G7</f>
        <v/>
      </c>
      <c r="I7" s="56">
        <f>A7^2*(G7/1000)</f>
        <v/>
      </c>
      <c r="J7" s="52">
        <f>ROUNDUP(I7/3,0)</f>
        <v/>
      </c>
      <c r="K7" s="48" t="inlineStr">
        <is>
          <t>TI INA240 [22], 100 V/V</t>
        </is>
      </c>
      <c r="L7" s="50" t="inlineStr">
        <is>
          <t>[20], [21], [22], [23]</t>
        </is>
      </c>
      <c r="M7" s="37" t="inlineStr">
        <is>
          <t>Candidate (unverified)</t>
        </is>
      </c>
    </row>
    <row r="8" ht="25.5" customHeight="1" s="31">
      <c r="A8" s="50" t="n">
        <v>40</v>
      </c>
      <c r="B8" s="51" t="n">
        <v>1</v>
      </c>
      <c r="C8" s="48" t="inlineStr">
        <is>
          <t>Infineon IRFB4110PBF [20]</t>
        </is>
      </c>
      <c r="D8" s="52">
        <f>B8*120</f>
        <v/>
      </c>
      <c r="E8" s="53">
        <f>D8/A8</f>
        <v/>
      </c>
      <c r="F8" s="48" t="inlineStr">
        <is>
          <t>TI DRV8353S [21]</t>
        </is>
      </c>
      <c r="G8" s="54" t="n">
        <v>1.5</v>
      </c>
      <c r="H8" s="55">
        <f>A8*G8</f>
        <v/>
      </c>
      <c r="I8" s="56">
        <f>A8^2*(G8/1000)</f>
        <v/>
      </c>
      <c r="J8" s="52">
        <f>ROUNDUP(I8/3,0)</f>
        <v/>
      </c>
      <c r="K8" s="48" t="inlineStr">
        <is>
          <t>TI INA240 [22], 100 V/V</t>
        </is>
      </c>
      <c r="L8" s="50" t="inlineStr">
        <is>
          <t>[20], [21], [22], [23]</t>
        </is>
      </c>
      <c r="M8" s="37" t="inlineStr">
        <is>
          <t>Candidate (unverified)</t>
        </is>
      </c>
    </row>
    <row r="9" ht="25.5" customHeight="1" s="31">
      <c r="A9" s="50" t="n">
        <v>50</v>
      </c>
      <c r="B9" s="51" t="n">
        <v>1</v>
      </c>
      <c r="C9" s="48" t="inlineStr">
        <is>
          <t>Infineon IRFB4110PBF [20]</t>
        </is>
      </c>
      <c r="D9" s="52">
        <f>B9*120</f>
        <v/>
      </c>
      <c r="E9" s="53">
        <f>D9/A9</f>
        <v/>
      </c>
      <c r="F9" s="48" t="inlineStr">
        <is>
          <t>TI DRV8353S [21]</t>
        </is>
      </c>
      <c r="G9" s="54" t="n">
        <v>1</v>
      </c>
      <c r="H9" s="55">
        <f>A9*G9</f>
        <v/>
      </c>
      <c r="I9" s="56">
        <f>A9^2*(G9/1000)</f>
        <v/>
      </c>
      <c r="J9" s="52">
        <f>ROUNDUP(I9/3,0)</f>
        <v/>
      </c>
      <c r="K9" s="48" t="inlineStr">
        <is>
          <t>TI INA240 [22], 200 V/V</t>
        </is>
      </c>
      <c r="L9" s="50" t="inlineStr">
        <is>
          <t>[20], [21], [22], [23]</t>
        </is>
      </c>
      <c r="M9" s="37" t="inlineStr">
        <is>
          <t>Candidate (unverified)</t>
        </is>
      </c>
    </row>
    <row r="10" ht="25.5" customHeight="1" s="31">
      <c r="A10" s="50" t="n">
        <v>80</v>
      </c>
      <c r="B10" s="51" t="n">
        <v>2</v>
      </c>
      <c r="C10" s="48" t="inlineStr">
        <is>
          <t>Infineon IRFB4110PBF [20]</t>
        </is>
      </c>
      <c r="D10" s="52">
        <f>B10*120</f>
        <v/>
      </c>
      <c r="E10" s="53">
        <f>D10/A10</f>
        <v/>
      </c>
      <c r="F10" s="48" t="inlineStr">
        <is>
          <t>TI DRV8353S [21]</t>
        </is>
      </c>
      <c r="G10" s="54" t="n">
        <v>0.5</v>
      </c>
      <c r="H10" s="55">
        <f>A10*G10</f>
        <v/>
      </c>
      <c r="I10" s="56">
        <f>A10^2*(G10/1000)</f>
        <v/>
      </c>
      <c r="J10" s="52">
        <f>ROUNDUP(I10/3,0)</f>
        <v/>
      </c>
      <c r="K10" s="48" t="inlineStr">
        <is>
          <t>TI INA240 [22], 200 V/V</t>
        </is>
      </c>
      <c r="L10" s="50" t="inlineStr">
        <is>
          <t>[20], [21], [22], [23]</t>
        </is>
      </c>
      <c r="M10" s="37" t="inlineStr">
        <is>
          <t>Candidate (unverified)</t>
        </is>
      </c>
    </row>
    <row r="11" ht="25.5" customHeight="1" s="31">
      <c r="A11" s="50" t="n">
        <v>120</v>
      </c>
      <c r="B11" s="51" t="n">
        <v>3</v>
      </c>
      <c r="C11" s="48" t="inlineStr">
        <is>
          <t>Infineon IRFB4110PBF [20]</t>
        </is>
      </c>
      <c r="D11" s="52">
        <f>B11*120</f>
        <v/>
      </c>
      <c r="E11" s="53">
        <f>D11/A11</f>
        <v/>
      </c>
      <c r="F11" s="48" t="inlineStr">
        <is>
          <t>TI DRV8353S [21]</t>
        </is>
      </c>
      <c r="G11" s="54" t="n">
        <v>0.5</v>
      </c>
      <c r="H11" s="55">
        <f>A11*G11</f>
        <v/>
      </c>
      <c r="I11" s="56">
        <f>A11^2*(G11/1000)</f>
        <v/>
      </c>
      <c r="J11" s="52">
        <f>ROUNDUP(I11/3,0)</f>
        <v/>
      </c>
      <c r="K11" s="48" t="inlineStr">
        <is>
          <t>TI INA240 [22], 200 V/V</t>
        </is>
      </c>
      <c r="L11" s="50" t="inlineStr">
        <is>
          <t>[20], [21], [22], [23]</t>
        </is>
      </c>
      <c r="M11" s="37" t="inlineStr">
        <is>
          <t>Candidate (unverified)</t>
        </is>
      </c>
    </row>
    <row r="12"/>
    <row r="13" ht="60" customHeight="1" s="31">
      <c r="A13" s="66" t="inlineStr">
        <is>
          <t>Shunt part: Vishay WSLP2512 [23] (3.0W package rating). "Shunt Qty Needed" = ROUNDUP(Shunt Power / 3W, 0); at 80A/120A this correctly computes 2x and 3x devices in parallel (7.2W / 3 tiers exceeds a single package's rating). FET parallel count and gate-driver reuse are a BOM-commonality choice (AGENTS.md §4 judgment call), not a datasheet requirement -- a smaller SO-8 FET would be leaner for the 10A-30A tiers if part-count commonality were not prioritized. -- BRUSHED BUILDS (2026-09-17): the FET Part, Gate Driver Part, Shunt and Current-Sense Amp columns of this sheet are brushless-shaped and are OVERRIDDEN by the Motor sheet's bridge row for a Brushed (DC) build (Tier 1: DRV8874-Q1 [63] integrated bridge, no shunt). This sheet still governs the copper and connector class for the tier.</t>
        </is>
      </c>
    </row>
  </sheetData>
  <mergeCells count="3">
    <mergeCell ref="A13:M13"/>
    <mergeCell ref="A2:M2"/>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1" zeroHeight="0" outlineLevelRow="0"/>
  <cols>
    <col width="18" customWidth="1" style="30" min="1" max="1"/>
    <col width="26" customWidth="1" style="30" min="2" max="2"/>
    <col width="14" customWidth="1" style="30" min="3" max="3"/>
    <col width="34" customWidth="1" style="30" min="4" max="4"/>
    <col width="24" customWidth="1" style="30" min="5" max="5"/>
    <col width="14" customWidth="1" style="30" min="6" max="6"/>
    <col width="34" customWidth="1" style="30" min="7" max="7"/>
    <col width="18" customWidth="1" style="30" min="8" max="8"/>
    <col width="22" customWidth="1" style="30" min="9" max="9"/>
  </cols>
  <sheetData>
    <row r="1" ht="19.7" customHeight="1" s="31">
      <c r="A1" s="58" t="inlineStr">
        <is>
          <t>Motor Type Decision Matrix</t>
        </is>
      </c>
    </row>
    <row r="2" ht="15" customHeight="1" s="31">
      <c r="A2" s="42" t="inlineStr">
        <is>
          <t>Build axis: Motor (Brushed / Brushless)</t>
        </is>
      </c>
    </row>
    <row r="4" ht="28.35" customHeight="1" s="31">
      <c r="A4" s="59" t="inlineStr">
        <is>
          <t>Motor Type</t>
        </is>
      </c>
      <c r="B4" s="59" t="inlineStr">
        <is>
          <t>Bridge Topology</t>
        </is>
      </c>
      <c r="C4" s="59" t="inlineStr">
        <is>
          <t>Switch Positions</t>
        </is>
      </c>
      <c r="D4" s="59" t="inlineStr">
        <is>
          <t>Gate Driver Part</t>
        </is>
      </c>
      <c r="E4" s="59" t="inlineStr">
        <is>
          <t>Output Terminals</t>
        </is>
      </c>
      <c r="F4" s="59" t="inlineStr">
        <is>
          <t>Shunt Qty</t>
        </is>
      </c>
      <c r="G4" s="59" t="inlineStr">
        <is>
          <t>Commutation Requirement</t>
        </is>
      </c>
      <c r="H4" s="59" t="inlineStr">
        <is>
          <t>REFERENCES.md Tags</t>
        </is>
      </c>
      <c r="I4" s="59" t="inlineStr">
        <is>
          <t>Status</t>
        </is>
      </c>
    </row>
    <row r="5" ht="46.25" customHeight="1" s="31">
      <c r="A5" s="43" t="inlineStr">
        <is>
          <t>Brushless (BLDC / PMSM)</t>
        </is>
      </c>
      <c r="B5" s="43" t="inlineStr">
        <is>
          <t>Three half-bridges (3-phase inverter)</t>
        </is>
      </c>
      <c r="C5" s="43" t="inlineStr">
        <is>
          <t>6 (3 high + 3 low)</t>
        </is>
      </c>
      <c r="D5" s="43" t="inlineStr">
        <is>
          <t>TI DRV8353S, 3-phase smart gate driver, SPI variant [21]</t>
        </is>
      </c>
      <c r="E5" s="43" t="inlineStr">
        <is>
          <t>3 (PH_A / PH_B / PH_C)</t>
        </is>
      </c>
      <c r="F5" s="43" t="inlineStr">
        <is>
          <t>3 (one per phase, low-side)</t>
        </is>
      </c>
      <c r="G5" s="43" t="inlineStr">
        <is>
          <t>Six-step trapezoidal or FOC; rotor position from the Shaft Sensor axis</t>
        </is>
      </c>
      <c r="H5" s="43" t="inlineStr">
        <is>
          <t>[21]</t>
        </is>
      </c>
      <c r="I5" s="43" t="inlineStr">
        <is>
          <t>Verified (local PDF)</t>
        </is>
      </c>
    </row>
    <row r="6" ht="180.55" customHeight="1" s="31">
      <c r="A6" s="43" t="inlineStr">
        <is>
          <t>Brushed (DC)</t>
        </is>
      </c>
      <c r="B6" s="43" t="inlineStr">
        <is>
          <t>Single H-bridge</t>
        </is>
      </c>
      <c r="C6" s="43" t="inlineStr">
        <is>
          <t>4 (2 high + 2 low)</t>
        </is>
      </c>
      <c r="D6" s="63" t="inlineStr">
        <is>
          <t>TI DRV8874-Q1 [63] integrated N-channel H-bridge (non-Q1 twin DRV8874 [62]): 4.5-37 V VM, 6 A peak, 100 mOhm typ per FET, PH/EN or PWM control, IPROPI current mirror 450 uA/A, VREF/ITRIP current regulation, UVLO/CPUV/OCP/TSD. Tier 1 (2S-6S, 10-20 A) per docs/OpenSecureESC-Brushed-Specifications.md Sec.1; every fault coasts the bridge ([63] Table 7).</t>
        </is>
      </c>
      <c r="E6" s="43" t="inlineStr">
        <is>
          <t>2 (M+ / M-)</t>
        </is>
      </c>
      <c r="F6" s="63" t="inlineStr">
        <is>
          <t>0 -- the driver's IPROPI current mirror replaces the shunt and current-sense amplifier of the brushless tiers ([63] Sec.7.3.3.1)</t>
        </is>
      </c>
      <c r="G6" s="43" t="inlineStr">
        <is>
          <t>None -- direction and magnitude set by bridge polarity and duty cycle; no rotor position needed for basic operation</t>
        </is>
      </c>
      <c r="H6" s="63" t="inlineStr">
        <is>
          <t>[62], [63]</t>
        </is>
      </c>
      <c r="I6" s="63" t="inlineStr">
        <is>
          <t>Verified (local PDF)</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9765625" defaultRowHeight="15" customHeight="1" zeroHeight="0" outlineLevelRow="0"/>
  <cols>
    <col width="22" customWidth="1" style="30" min="1" max="1"/>
    <col width="30" customWidth="1" style="30" min="2" max="2"/>
    <col width="22" customWidth="1" style="30" min="3" max="3"/>
    <col width="34" customWidth="1" style="30" min="4" max="4"/>
    <col width="22" customWidth="1" style="30" min="5" max="5"/>
    <col width="38" customWidth="1" style="30" min="6" max="6"/>
    <col width="18" customWidth="1" style="30" min="7" max="7"/>
    <col width="22" customWidth="1" style="30" min="8" max="8"/>
  </cols>
  <sheetData>
    <row r="1" ht="19.7" customHeight="1" s="31">
      <c r="A1" s="58" t="inlineStr">
        <is>
          <t>Shaft Sensor Decision Matrix</t>
        </is>
      </c>
    </row>
    <row r="2" ht="15" customHeight="1" s="31">
      <c r="A2" s="42" t="inlineStr">
        <is>
          <t>Build axis: Shaft Sensor (None-sensorless / Hall / Quadrature encoder / Resolver)</t>
        </is>
      </c>
    </row>
    <row r="4" ht="28.35" customHeight="1" s="31">
      <c r="A4" s="59" t="inlineStr">
        <is>
          <t>Sensor Type</t>
        </is>
      </c>
      <c r="B4" s="59" t="inlineStr">
        <is>
          <t>Rotor Position Source</t>
        </is>
      </c>
      <c r="C4" s="59" t="inlineStr">
        <is>
          <t>MCU Pins Required</t>
        </is>
      </c>
      <c r="D4" s="59" t="inlineStr">
        <is>
          <t>Additional BOM Component</t>
        </is>
      </c>
      <c r="E4" s="59" t="inlineStr">
        <is>
          <t>Connector</t>
        </is>
      </c>
      <c r="F4" s="59" t="inlineStr">
        <is>
          <t>Firmware Workflow Steps</t>
        </is>
      </c>
      <c r="G4" s="59" t="inlineStr">
        <is>
          <t>REFERENCES.md Tags</t>
        </is>
      </c>
      <c r="H4" s="59" t="inlineStr">
        <is>
          <t>Status</t>
        </is>
      </c>
    </row>
    <row r="5" ht="91" customHeight="1" s="31">
      <c r="A5" s="43" t="inlineStr">
        <is>
          <t>None (sensorless)</t>
        </is>
      </c>
      <c r="B5" s="43" t="inlineStr">
        <is>
          <t>Back-EMF / observer computed from phase voltages and currents; same observer the Control sheet's closed-loop rows already use (TI SLAAE96A [13])</t>
        </is>
      </c>
      <c r="C5" s="43" t="inlineStr">
        <is>
          <t>3 ADC (one per phase voltage divider). Reuses the current-sense ADC channels already allocated on the Amperage axis.</t>
        </is>
      </c>
      <c r="D5" s="43" t="inlineStr">
        <is>
          <t>3 resistor dividers (6 R) plus filter capacitors, one per phase. Generic passives, values sized against the pack voltage of the chosen Voltage tier.</t>
        </is>
      </c>
      <c r="E5" s="43" t="inlineStr">
        <is>
          <t>None -- no sensor cable leaves the board</t>
        </is>
      </c>
      <c r="F5" s="43" t="inlineStr">
        <is>
          <t>Implement the observer per [13]; handle open-loop startup ramp, since back-EMF is unusable near zero speed.</t>
        </is>
      </c>
      <c r="G5" s="43" t="inlineStr">
        <is>
          <t>[13]</t>
        </is>
      </c>
      <c r="H5" s="43" t="inlineStr">
        <is>
          <t>Candidate (unverified)</t>
        </is>
      </c>
    </row>
    <row r="6" ht="91" customHeight="1" s="31">
      <c r="A6" s="43" t="inlineStr">
        <is>
          <t>Hall effect (3-sensor, 120 deg)</t>
        </is>
      </c>
      <c r="B6" s="43" t="inlineStr">
        <is>
          <t>Three digital Hall outputs giving six commutation states per electrical revolution</t>
        </is>
      </c>
      <c r="C6" s="43" t="inlineStr">
        <is>
          <t>3 digital in (interrupt-capable), plus a sensor supply rail</t>
        </is>
      </c>
      <c r="D6" s="43" t="inlineStr">
        <is>
          <t>3 pull-up resistors plus ESD protection on the cable entry. Sensor part: TI DRV5013 is carried from the Control sheet as a fallback candidate, at that sheet's existing status -- it has not been separately verified for this axis.</t>
        </is>
      </c>
      <c r="E6" s="43" t="inlineStr">
        <is>
          <t>5-pin (VCC, GND, HA, HB, HC)</t>
        </is>
      </c>
      <c r="F6" s="43" t="inlineStr">
        <is>
          <t>Decode the 3-bit Hall state into a 6-step commutation table; derive speed from state-transition timing.</t>
        </is>
      </c>
      <c r="G6" s="43" t="inlineStr">
        <is>
          <t>[1]</t>
        </is>
      </c>
      <c r="H6" s="43" t="inlineStr">
        <is>
          <t>Open / unresolved</t>
        </is>
      </c>
    </row>
    <row r="7" ht="91" customHeight="1" s="31">
      <c r="A7" s="43" t="inlineStr">
        <is>
          <t>Quadrature encoder (incremental)</t>
        </is>
      </c>
      <c r="B7" s="43" t="inlineStr">
        <is>
          <t>Two phase-quadrature channels A/B, plus optional once-per-rev index Z</t>
        </is>
      </c>
      <c r="C7" s="43" t="inlineStr">
        <is>
          <t>2 digital in, or 3 with index. Prefer a timer with a hardware quadrature decoder if the chosen MCU has one.</t>
        </is>
      </c>
      <c r="D7" s="43" t="inlineStr">
        <is>
          <t>Pull-ups for an open-collector encoder, or a differential line receiver for RS-422 encoders -- TBD -- requires primary-source verification (AGENTS.md Sec.1.3)</t>
        </is>
      </c>
      <c r="E7" s="43" t="inlineStr">
        <is>
          <t>4-pin (VCC, GND, A, B) or 6-pin with Z and shield</t>
        </is>
      </c>
      <c r="F7" s="43" t="inlineStr">
        <is>
          <t>Configure the hardware quadrature decoder; establish a zero reference from the index pulse or a homing routine.</t>
        </is>
      </c>
      <c r="G7" s="43" t="inlineStr">
        <is>
          <t>-</t>
        </is>
      </c>
      <c r="H7" s="43" t="inlineStr">
        <is>
          <t>Open / unresolved</t>
        </is>
      </c>
    </row>
    <row r="8" ht="91" customHeight="1" s="31">
      <c r="A8" s="43" t="inlineStr">
        <is>
          <t>Resolver</t>
        </is>
      </c>
      <c r="B8" s="43" t="inlineStr">
        <is>
          <t>Ratiometric SIN/COS windings excited by an AC reference; absolute position within one electrical revolution</t>
        </is>
      </c>
      <c r="C8" s="43" t="inlineStr">
        <is>
          <t>Depends on the converter: an SPI or parallel bus to a resolver-to-digital converter, plus an excitation output</t>
        </is>
      </c>
      <c r="D8" s="43" t="inlineStr">
        <is>
          <t>Resolver-to-digital converter IC and an excitation amplifier -- TBD -- requires primary-source verification (AGENTS.md Sec.1.3). This is the only shaft-sensor option that adds a whole IC to the BOM.</t>
        </is>
      </c>
      <c r="E8" s="43" t="inlineStr">
        <is>
          <t>6-pin (EXC+, EXC-, SIN+, SIN-, COS+, COS-), shielded</t>
        </is>
      </c>
      <c r="F8" s="43" t="inlineStr">
        <is>
          <t>Drive the excitation reference; read absolute angle from the converter; no startup ramp needed, unlike sensorless.</t>
        </is>
      </c>
      <c r="G8" s="43" t="inlineStr">
        <is>
          <t>-</t>
        </is>
      </c>
      <c r="H8" s="43" t="inlineStr">
        <is>
          <t>Open / unresolved</t>
        </is>
      </c>
    </row>
    <row r="9">
      <c r="A9" s="63" t="inlineStr">
        <is>
          <t>Magnetic absolute (SPI/SSI)</t>
        </is>
      </c>
      <c r="B9" s="63" t="inlineStr">
        <is>
          <t>Single-turn absolute angle from an on-axis Hall sensor IC reading a diametric two-pole magnet on the shaft end; 10- to 16-bit absolute word over SSI/SPI, optional ABI/UVW/PWM outputs. Multi-turn position is accumulated in firmware.</t>
        </is>
      </c>
      <c r="C9" s="63" t="inlineStr">
        <is>
          <t>3 (SCLK, DO, NSL/CS) for SSI, 4 with DI for SPI; sensor supply 3.3 V. The sensor may sit off-board on a short cable.</t>
        </is>
      </c>
      <c r="D9" s="63" t="inlineStr">
        <is>
          <t>Broadcom AEAT-8800-Q24 [64], QFN-24 5 x 5 mm, 3.3 V or 5 V operation, SSI 3-wire absolute output. Series resistors and ESD protection on each line per docs/design-speed-sensor-integration.md.</t>
        </is>
      </c>
      <c r="E9" s="63" t="inlineStr">
        <is>
          <t>6-pin keyed (3V3, GND, SCLK, DO, NSL, DI) with shield/drain optional</t>
        </is>
      </c>
      <c r="F9" s="63" t="inlineStr">
        <is>
          <t>Read the absolute word each control tick; unwrap turns across the 0/full-scale boundary; home the multi-turn count from an outer absolute reference (a host sensor over the bus) at power-up; declare 'stationary' from this sensor, not from motor current.</t>
        </is>
      </c>
      <c r="G9" s="63" t="inlineStr">
        <is>
          <t>[64]</t>
        </is>
      </c>
      <c r="H9" s="63" t="inlineStr">
        <is>
          <t>Verified (local PDF)</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28" customWidth="1" style="31" min="1" max="1"/>
    <col width="34" customWidth="1" style="31" min="2" max="2"/>
    <col width="40" customWidth="1" style="31" min="3" max="3"/>
    <col width="26" customWidth="1" style="31" min="4" max="4"/>
    <col width="40" customWidth="1" style="31" min="5" max="5"/>
    <col width="30" customWidth="1" style="31" min="6" max="6"/>
    <col width="44" customWidth="1" style="31" min="7" max="7"/>
    <col width="18" customWidth="1" style="31" min="8" max="8"/>
    <col width="22" customWidth="1" style="31" min="9" max="9"/>
  </cols>
  <sheetData>
    <row r="1">
      <c r="A1" s="60" t="inlineStr">
        <is>
          <t>Holding Brake Decision Matrix</t>
        </is>
      </c>
    </row>
    <row r="2">
      <c r="A2" s="61" t="inlineStr">
        <is>
          <t>Build axis: Holding Brake (None / Low-side solenoid driver, spring-applied)</t>
        </is>
      </c>
    </row>
    <row r="4">
      <c r="A4" s="62" t="inlineStr">
        <is>
          <t>Brake Option</t>
        </is>
      </c>
      <c r="B4" s="62" t="inlineStr">
        <is>
          <t>Actuation</t>
        </is>
      </c>
      <c r="C4" s="62" t="inlineStr">
        <is>
          <t>Fail-state</t>
        </is>
      </c>
      <c r="D4" s="62" t="inlineStr">
        <is>
          <t>MCU Pins Required</t>
        </is>
      </c>
      <c r="E4" s="62" t="inlineStr">
        <is>
          <t>Additional BOM Component</t>
        </is>
      </c>
      <c r="F4" s="62" t="inlineStr">
        <is>
          <t>Connector</t>
        </is>
      </c>
      <c r="G4" s="62" t="inlineStr">
        <is>
          <t>Firmware Workflow Steps</t>
        </is>
      </c>
      <c r="H4" s="62" t="inlineStr">
        <is>
          <t>REFERENCES.md Tags</t>
        </is>
      </c>
      <c r="I4" s="62" t="inlineStr">
        <is>
          <t>Status</t>
        </is>
      </c>
    </row>
    <row r="5">
      <c r="A5" s="63" t="inlineStr">
        <is>
          <t>None</t>
        </is>
      </c>
      <c r="B5" s="63" t="inlineStr">
        <is>
          <t>No holding brake. The load is held by the motor's own drag, a self-locking transmission, or nothing.</t>
        </is>
      </c>
      <c r="C5" s="63" t="inlineStr">
        <is>
          <t>Not applicable -- the build has no brake to fail. A non-self-locking transmission on a load that must hold unpowered may NOT select this row.</t>
        </is>
      </c>
      <c r="D5" s="63" t="inlineStr">
        <is>
          <t>0</t>
        </is>
      </c>
      <c r="E5" s="63" t="inlineStr">
        <is>
          <t>None</t>
        </is>
      </c>
      <c r="F5" s="63" t="inlineStr">
        <is>
          <t>None</t>
        </is>
      </c>
      <c r="G5" s="63" t="inlineStr">
        <is>
          <t>None</t>
        </is>
      </c>
      <c r="H5" s="63" t="inlineStr">
        <is>
          <t>-</t>
        </is>
      </c>
      <c r="I5" s="63" t="inlineStr">
        <is>
          <t>No part needed</t>
        </is>
      </c>
    </row>
    <row r="6">
      <c r="A6" s="63" t="inlineStr">
        <is>
          <t>Low-side solenoid driver, spring-applied</t>
        </is>
      </c>
      <c r="B6" s="63" t="inlineStr">
        <is>
          <t>Spring-applied, power-released pin brake. A pull solenoid retracts the pin while its coil is energised; the spring engages the pin when the coil is released. The coil is switched on its low side.</t>
        </is>
      </c>
      <c r="C6" s="63" t="inlineStr">
        <is>
          <t>De-energised = engaged. The driver input carries a pull-down so an MCU reset, brown-out or floating GPIO engages the brake without firmware; the coil's inductive kick is clamped; brake state (drive-pin readback) is published on the bus. Engage-on-fault: the motor driver's nFAULT is a brake-engage input for firmware.</t>
        </is>
      </c>
      <c r="D6" s="63" t="inlineStr">
        <is>
          <t>1 digital out (BRAKE_EN) plus 1 digital in or ADC for state readback; optionally 1 ADC for the coil supply rail so the pin is never dropped into a driven castellation.</t>
        </is>
      </c>
      <c r="E6" s="63" t="inlineStr">
        <is>
          <t>TI TPL7407L [66]: 40 V 7-channel NMOS low-side array, 600 mA per channel (channels paralleled for the load), 1 MOhm input pull-down per channel, internal clamp diodes to COM. Return COM to the pack-side rail so the clamp sits above the coil supply and inside the COM range (8.5-40 V, [66] Sec.6.3). The solenoid itself is a host-side part outside this axis (Serenity-UAV item BRK-4); this row carries only the driver.</t>
        </is>
      </c>
      <c r="F6" s="63" t="inlineStr">
        <is>
          <t>2-pin (COIL+, COIL-) keyed header; polarity marked</t>
        </is>
      </c>
      <c r="G6" s="63" t="inlineStr">
        <is>
          <t>Release only on an authenticated release command after the loop has unloaded the pin; sequence release -&gt; move -&gt; settle (encoder stationary) -&gt; engage; engage on nFAULT, on bus loss after a timeout, and on coil-rail droop below the solenoid hold-in voltage; publish brake state every telemetry frame.</t>
        </is>
      </c>
      <c r="H6" s="63" t="inlineStr">
        <is>
          <t>[66]</t>
        </is>
      </c>
      <c r="I6" s="63" t="inlineStr">
        <is>
          <t>Verified (local PDF)</t>
        </is>
      </c>
    </row>
    <row r="8">
      <c r="A8" s="64" t="inlineStr">
        <is>
          <t>Note: A brake on the actuator shaft protects against loss of drive, not against a broken transmission downstream of it. The 'Fail-state' column is the safety property this axis exists to record -- a build that selects the solenoid row must reproduce every item in it, not just the part number. First instance: builds/6s/10A/BRUSHED_CAN_485_isolation/ (Serenity-UAV nacelle tilt).</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16" customWidth="1" style="30" min="1" max="1"/>
    <col width="20" customWidth="1" style="30" min="2" max="2"/>
    <col width="34" customWidth="1" style="30" min="3" max="3"/>
    <col width="46" customWidth="1" style="30" min="4" max="4"/>
    <col width="16" customWidth="1" style="30" min="5" max="5"/>
    <col width="22" customWidth="1" style="30" min="6" max="6"/>
  </cols>
  <sheetData>
    <row r="1" ht="25.5" customHeight="1" s="31">
      <c r="A1" s="32" t="inlineStr">
        <is>
          <t>Protocol Interface Decision Matrix</t>
        </is>
      </c>
    </row>
    <row r="2" ht="15.75" customHeight="1" s="31">
      <c r="A2" s="33" t="inlineStr">
        <is>
          <t>Build axis: Protocol (11 options)</t>
        </is>
      </c>
    </row>
    <row r="4" ht="30" customHeight="1" s="31">
      <c r="A4" s="47" t="inlineStr">
        <is>
          <t>Protocol</t>
        </is>
      </c>
      <c r="B4" s="47" t="inlineStr">
        <is>
          <t>MCU Native Peripheral?</t>
        </is>
      </c>
      <c r="C4" s="47" t="inlineStr">
        <is>
          <t>Additional BOM Component</t>
        </is>
      </c>
      <c r="D4" s="47" t="inlineStr">
        <is>
          <t>Workflow Steps</t>
        </is>
      </c>
      <c r="E4" s="47" t="inlineStr">
        <is>
          <t>REFERENCES.md Tags</t>
        </is>
      </c>
      <c r="F4" s="47" t="inlineStr">
        <is>
          <t>Status</t>
        </is>
      </c>
    </row>
    <row r="5" ht="57.75" customHeight="1" s="31">
      <c r="A5" s="48" t="inlineStr">
        <is>
          <t>PWM</t>
        </is>
      </c>
      <c r="B5" s="48" t="inlineStr">
        <is>
          <t>Yes -- TIMx advanced/general-purpose timers [1] §8.29</t>
        </is>
      </c>
      <c r="C5" s="48" t="inlineStr">
        <is>
          <t>None</t>
        </is>
      </c>
      <c r="D5" s="48" t="inlineStr">
        <is>
          <t>Configure MCU timer capture/compare input; map duty-cycle/period per protocol variant.</t>
        </is>
      </c>
      <c r="E5" s="48" t="inlineStr">
        <is>
          <t>[1]</t>
        </is>
      </c>
      <c r="F5" s="39" t="inlineStr">
        <is>
          <t>No part needed</t>
        </is>
      </c>
    </row>
    <row r="6" ht="57.75" customHeight="1" s="31">
      <c r="A6" s="48" t="inlineStr">
        <is>
          <t>SBus</t>
        </is>
      </c>
      <c r="B6" s="48" t="inlineStr">
        <is>
          <t>No native RX/TX invert (checked [1] p.67 §8.23, Table 8-15 -- no polarity-select feature listed)</t>
        </is>
      </c>
      <c r="C6" s="48" t="inlineStr">
        <is>
          <t>External signal inverter (single-transistor or logic buffer) -- part not yet selected</t>
        </is>
      </c>
      <c r="D6" s="48" t="inlineStr">
        <is>
          <t>Source Futaba SBus signaling spec (proprietary, no official spec located); build/verify external inversion circuit for the MCU's native UART RX; mark implementation UNVERIFIED per REFERENCES.md.</t>
        </is>
      </c>
      <c r="E6" s="48" t="inlineStr">
        <is>
          <t>[1]</t>
        </is>
      </c>
      <c r="F6" s="38" t="inlineStr">
        <is>
          <t>Open / unresolved</t>
        </is>
      </c>
    </row>
    <row r="7" ht="57.75" customHeight="1" s="31">
      <c r="A7" s="48" t="inlineStr">
        <is>
          <t>DBus</t>
        </is>
      </c>
      <c r="B7" s="48" t="inlineStr">
        <is>
          <t>Same as SBus -- no native invert</t>
        </is>
      </c>
      <c r="C7" s="48" t="inlineStr">
        <is>
          <t>Same external inverter approach as SBus -- part not yet selected</t>
        </is>
      </c>
      <c r="D7" s="48" t="inlineStr">
        <is>
          <t>Same treatment as SBus: proprietary protocol, no official spec located; external inversion hardware needed.</t>
        </is>
      </c>
      <c r="E7" s="48" t="inlineStr">
        <is>
          <t>[1]</t>
        </is>
      </c>
      <c r="F7" s="38" t="inlineStr">
        <is>
          <t>Open / unresolved</t>
        </is>
      </c>
    </row>
    <row r="8" ht="57.75" customHeight="1" s="31">
      <c r="A8" s="48" t="inlineStr">
        <is>
          <t>UART</t>
        </is>
      </c>
      <c r="B8" s="48" t="inlineStr">
        <is>
          <t>Yes -- UART0-3 [1] §8.23, p.67</t>
        </is>
      </c>
      <c r="C8" s="48" t="inlineStr">
        <is>
          <t>None (logic-level only)</t>
        </is>
      </c>
      <c r="D8" s="48" t="inlineStr">
        <is>
          <t>Configure MCU UART peripheral (baud, parity, stop bits) per protocol variant.</t>
        </is>
      </c>
      <c r="E8" s="48" t="inlineStr">
        <is>
          <t>[1]</t>
        </is>
      </c>
      <c r="F8" s="39" t="inlineStr">
        <is>
          <t>No part needed</t>
        </is>
      </c>
    </row>
    <row r="9" ht="57.75" customHeight="1" s="31">
      <c r="A9" s="48" t="inlineStr">
        <is>
          <t>TTL</t>
        </is>
      </c>
      <c r="B9" s="48" t="inlineStr">
        <is>
          <t>Yes -- shares UART peripheral [1] §8.23</t>
        </is>
      </c>
      <c r="C9" s="48" t="inlineStr">
        <is>
          <t>None (logic-level only)</t>
        </is>
      </c>
      <c r="D9" s="48" t="inlineStr">
        <is>
          <t>Same as UART; TTL refers to the logic-level signaling, not a distinct peripheral.</t>
        </is>
      </c>
      <c r="E9" s="48" t="inlineStr">
        <is>
          <t>[1]</t>
        </is>
      </c>
      <c r="F9" s="39" t="inlineStr">
        <is>
          <t>No part needed</t>
        </is>
      </c>
    </row>
    <row r="10" ht="57.75" customHeight="1" s="31">
      <c r="A10" s="48" t="inlineStr">
        <is>
          <t>SPI</t>
        </is>
      </c>
      <c r="B10" s="48" t="inlineStr">
        <is>
          <t>Yes -- two SPI peripherals [1] §8.25</t>
        </is>
      </c>
      <c r="C10" s="48" t="inlineStr">
        <is>
          <t>None</t>
        </is>
      </c>
      <c r="D10" s="48" t="inlineStr">
        <is>
          <t>Configure MCU SPI peripheral (mode, clock rate up to 32 Mbit/s on one instance).</t>
        </is>
      </c>
      <c r="E10" s="48" t="inlineStr">
        <is>
          <t>[1]</t>
        </is>
      </c>
      <c r="F10" s="39" t="inlineStr">
        <is>
          <t>No part needed</t>
        </is>
      </c>
    </row>
    <row r="11" ht="57.75" customHeight="1" s="31">
      <c r="A11" s="48" t="inlineStr">
        <is>
          <t>RS-232</t>
        </is>
      </c>
      <c r="B11" s="48" t="inlineStr">
        <is>
          <t>No -- needs 3.3V-to-RS-232 level shifting</t>
        </is>
      </c>
      <c r="C11" s="48" t="inlineStr">
        <is>
          <t>ADM3232E [12] (candidate; alt. considered: TI MAX3232)</t>
        </is>
      </c>
      <c r="D11" s="48" t="inlineStr">
        <is>
          <t>Select RS-232 transceiver; verify ±15kV ESD and 3.3V-native supply match MCU rail; per [3].</t>
        </is>
      </c>
      <c r="E11" s="48" t="inlineStr">
        <is>
          <t>[1], [3], [12]</t>
        </is>
      </c>
      <c r="F11" s="37" t="inlineStr">
        <is>
          <t>Candidate (unverified)</t>
        </is>
      </c>
    </row>
    <row r="12" ht="57.75" customHeight="1" s="31">
      <c r="A12" s="48" t="inlineStr">
        <is>
          <t>RS-485</t>
        </is>
      </c>
      <c r="B12" s="48" t="inlineStr">
        <is>
          <t>No -- needs isolated RS-485 transceiver</t>
        </is>
      </c>
      <c r="C12" s="48" t="inlineStr">
        <is>
          <t>ADM2582E / ADM2587E [9] (candidate)</t>
        </is>
      </c>
      <c r="D12" s="48" t="inlineStr">
        <is>
          <t>Select isolated RS-485 transceiver; verify ANSI/TIA/EIA-485-A-98 compliance and isolation voltage; per [4].</t>
        </is>
      </c>
      <c r="E12" s="48" t="inlineStr">
        <is>
          <t>[4], [9]</t>
        </is>
      </c>
      <c r="F12" s="37" t="inlineStr">
        <is>
          <t>Candidate (unverified)</t>
        </is>
      </c>
    </row>
    <row r="13" ht="57.75" customHeight="1" s="31">
      <c r="A13" s="48" t="inlineStr">
        <is>
          <t>CAN2.0</t>
        </is>
      </c>
      <c r="B13" s="48" t="inlineStr">
        <is>
          <t>Yes -- CAN peripheral supports CAN2.0A/B [1] §8.26, p.68</t>
        </is>
      </c>
      <c r="C13" s="48" t="inlineStr">
        <is>
          <t>ADM3055E / ADM3057E [10] (isolated transceiver, candidate)</t>
        </is>
      </c>
      <c r="D13" s="48" t="inlineStr">
        <is>
          <t>Configure MCU CAN peripheral for classic frames; select isolated CAN transceiver; per [5].</t>
        </is>
      </c>
      <c r="E13" s="48" t="inlineStr">
        <is>
          <t>[1], [5], [10]</t>
        </is>
      </c>
      <c r="F13" s="37" t="inlineStr">
        <is>
          <t>Candidate (unverified)</t>
        </is>
      </c>
    </row>
    <row r="14" ht="57.75" customHeight="1" s="31">
      <c r="A14" s="48" t="inlineStr">
        <is>
          <t>CAN-FD</t>
        </is>
      </c>
      <c r="B14" s="48" t="inlineStr">
        <is>
          <t>Yes -- CAN peripheral supports CAN-FD, ISO 11898-1:2015 [1] §8.26, p.68</t>
        </is>
      </c>
      <c r="C14" s="48" t="inlineStr">
        <is>
          <t>ADM3055E / ADM3057E [10] (isolated transceiver, candidate)</t>
        </is>
      </c>
      <c r="D14" s="48" t="inlineStr">
        <is>
          <t>Configure MCU CAN peripheral for FD frames (up to 5Mbit/s); select isolated CAN-FD transceiver; per [6].</t>
        </is>
      </c>
      <c r="E14" s="48" t="inlineStr">
        <is>
          <t>[1], [6], [10]</t>
        </is>
      </c>
      <c r="F14" s="37" t="inlineStr">
        <is>
          <t>Candidate (unverified)</t>
        </is>
      </c>
    </row>
    <row r="15" ht="57.75" customHeight="1" s="31">
      <c r="A15" s="48" t="inlineStr">
        <is>
          <t>MIL-STD-1553B</t>
        </is>
      </c>
      <c r="B15" s="48" t="inlineStr">
        <is>
          <t>No -- needs dedicated 1553 interface module</t>
        </is>
      </c>
      <c r="C15" s="48" t="inlineStr">
        <is>
          <t>Alta MEZ-E1553 [11] (candidate host-interface module)</t>
        </is>
      </c>
      <c r="D15" s="48" t="inlineStr">
        <is>
          <t>Select 1553 interface module; confirm target revision (1553B vs. 1553C, open per TODO.md 1.7); per [7].</t>
        </is>
      </c>
      <c r="E15" s="48" t="inlineStr">
        <is>
          <t>[7], [11]</t>
        </is>
      </c>
      <c r="F15" s="37" t="inlineStr">
        <is>
          <t>Candidate (unverified)</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16" customWidth="1" style="30" min="1" max="1"/>
    <col width="34" customWidth="1" style="30" min="2" max="2"/>
    <col width="30" customWidth="1" style="30" min="3" max="3"/>
    <col width="46" customWidth="1" style="30" min="4" max="4"/>
    <col width="16" customWidth="1" style="30" min="5" max="5"/>
    <col width="22" customWidth="1" style="30" min="6" max="6"/>
  </cols>
  <sheetData>
    <row r="1" ht="25.5" customHeight="1" s="31">
      <c r="A1" s="32" t="inlineStr">
        <is>
          <t>Control Loop Decision Matrix</t>
        </is>
      </c>
    </row>
    <row r="2" ht="15.75" customHeight="1" s="31">
      <c r="A2" s="33" t="inlineStr">
        <is>
          <t>Build axis: Control (Open / Closed-Diff / Closed-PID)</t>
        </is>
      </c>
    </row>
    <row r="4" ht="30" customHeight="1" s="31">
      <c r="A4" s="47" t="inlineStr">
        <is>
          <t>Control Mode</t>
        </is>
      </c>
      <c r="B4" s="47" t="inlineStr">
        <is>
          <t>Feedback Method</t>
        </is>
      </c>
      <c r="C4" s="47" t="inlineStr">
        <is>
          <t>Additional BOM Component</t>
        </is>
      </c>
      <c r="D4" s="47" t="inlineStr">
        <is>
          <t>Firmware Workflow Steps</t>
        </is>
      </c>
      <c r="E4" s="47" t="inlineStr">
        <is>
          <t>REFERENCES.md Tags</t>
        </is>
      </c>
      <c r="F4" s="47" t="inlineStr">
        <is>
          <t>Status</t>
        </is>
      </c>
    </row>
    <row r="5" ht="66" customHeight="1" s="31">
      <c r="A5" s="48" t="inlineStr">
        <is>
          <t>Open-loop</t>
        </is>
      </c>
      <c r="B5" s="48" t="inlineStr">
        <is>
          <t>None -- fixed commanded duty cycle, no feedback</t>
        </is>
      </c>
      <c r="C5" s="48" t="inlineStr">
        <is>
          <t>None</t>
        </is>
      </c>
      <c r="D5" s="48" t="inlineStr">
        <is>
          <t>Map input protocol command directly to PWM duty cycle; no observer or control-law firmware needed.</t>
        </is>
      </c>
      <c r="E5" s="48" t="inlineStr">
        <is>
          <t>-</t>
        </is>
      </c>
      <c r="F5" s="39" t="inlineStr">
        <is>
          <t>No part needed</t>
        </is>
      </c>
    </row>
    <row r="6" ht="66" customHeight="1" s="31">
      <c r="A6" s="48" t="inlineStr">
        <is>
          <t>Closed-loop differential</t>
        </is>
      </c>
      <c r="B6" s="48" t="inlineStr">
        <is>
          <t>Sensorless FOC observer (TI SLAAE96A [13]) using MCU's own ADC / OPA / COMP peripherals ([1] p.77, Table 10-1: 2xADC, 2xOPA, 3xCOMP)</t>
        </is>
      </c>
      <c r="C6" s="48" t="inlineStr">
        <is>
          <t>None (sensorless); fallback candidate: TI DRV5013 Hall sensor [13]</t>
        </is>
      </c>
      <c r="D6" s="48" t="inlineStr">
        <is>
          <t>Implement rotor position/speed observer per SLAAE96A; compute differential (measured vs. commanded) speed error each control cycle; no proportional/integral tuning beyond differential term.</t>
        </is>
      </c>
      <c r="E6" s="48" t="inlineStr">
        <is>
          <t>[1], [13]</t>
        </is>
      </c>
      <c r="F6" s="37" t="inlineStr">
        <is>
          <t>Candidate (unverified)</t>
        </is>
      </c>
    </row>
    <row r="7" ht="66" customHeight="1" s="31">
      <c r="A7" s="48" t="inlineStr">
        <is>
          <t>Closed-loop PID</t>
        </is>
      </c>
      <c r="B7" s="48" t="inlineStr">
        <is>
          <t>Same sensorless FOC observer as Closed-loop differential ([13])</t>
        </is>
      </c>
      <c r="C7" s="48" t="inlineStr">
        <is>
          <t>None (sensorless); fallback candidate: TI DRV5013 Hall sensor [13]</t>
        </is>
      </c>
      <c r="D7" s="48" t="inlineStr">
        <is>
          <t>Same observer as above; add integral and derivative terms to the control law; tune PID gains against the amperage/voltage tier's motor and load characteristics.</t>
        </is>
      </c>
      <c r="E7" s="48" t="inlineStr">
        <is>
          <t>[1], [13]</t>
        </is>
      </c>
      <c r="F7" s="37" t="inlineStr">
        <is>
          <t>Candidate (unverified)</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4296875" defaultRowHeight="15" customHeight="1" zeroHeight="0" outlineLevelRow="0"/>
  <cols>
    <col width="14" customWidth="1" style="30" min="1" max="1"/>
    <col width="30" customWidth="1" style="30" min="2" max="2"/>
    <col width="26" customWidth="1" style="30" min="3" max="3"/>
    <col width="14" customWidth="1" style="30" min="4" max="4"/>
    <col width="44" customWidth="1" style="30" min="5" max="5"/>
    <col width="16" customWidth="1" style="30" min="6" max="6"/>
    <col width="22" customWidth="1" style="30" min="7" max="7"/>
  </cols>
  <sheetData>
    <row r="1" ht="25.5" customHeight="1" s="31">
      <c r="A1" s="32" t="inlineStr">
        <is>
          <t>EMI Hardening Tier Decision Matrix</t>
        </is>
      </c>
    </row>
    <row r="2" ht="15.75" customHeight="1" s="31">
      <c r="A2" s="33" t="inlineStr">
        <is>
          <t>Build axis: EMI Hardening (None / Isolation / Grounding / Faraday)</t>
        </is>
      </c>
    </row>
    <row r="4" ht="30" customHeight="1" s="31">
      <c r="A4" s="47" t="inlineStr">
        <is>
          <t>Tier</t>
        </is>
      </c>
      <c r="B4" s="47" t="inlineStr">
        <is>
          <t>Governing Standard(s)</t>
        </is>
      </c>
      <c r="C4" s="47" t="inlineStr">
        <is>
          <t>BOM Component</t>
        </is>
      </c>
      <c r="D4" s="47" t="inlineStr">
        <is>
          <t>Purchasable Part?</t>
        </is>
      </c>
      <c r="E4" s="47" t="inlineStr">
        <is>
          <t>Workflow Steps</t>
        </is>
      </c>
      <c r="F4" s="47" t="inlineStr">
        <is>
          <t>REFERENCES.md Tags</t>
        </is>
      </c>
      <c r="G4" s="47" t="inlineStr">
        <is>
          <t>Status</t>
        </is>
      </c>
    </row>
    <row r="5" ht="66" customHeight="1" s="31">
      <c r="A5" s="48" t="inlineStr">
        <is>
          <t>None</t>
        </is>
      </c>
      <c r="B5" s="48" t="inlineStr">
        <is>
          <t>-</t>
        </is>
      </c>
      <c r="C5" s="48" t="inlineStr">
        <is>
          <t>None</t>
        </is>
      </c>
      <c r="D5" s="48" t="inlineStr">
        <is>
          <t>No</t>
        </is>
      </c>
      <c r="E5" s="48" t="inlineStr">
        <is>
          <t>No additional EMI mitigation beyond standard PCB layout practice.</t>
        </is>
      </c>
      <c r="F5" s="48" t="inlineStr">
        <is>
          <t>-</t>
        </is>
      </c>
      <c r="G5" s="39" t="inlineStr">
        <is>
          <t>No part needed</t>
        </is>
      </c>
    </row>
    <row r="6" ht="66" customHeight="1" s="31">
      <c r="A6" s="48" t="inlineStr">
        <is>
          <t>Isolation</t>
        </is>
      </c>
      <c r="B6" s="48" t="inlineStr">
        <is>
          <t>IEC 62368-1:2018 [16] (basic/reinforced insulation classification)</t>
        </is>
      </c>
      <c r="C6" s="48" t="inlineStr">
        <is>
          <t>ADuM4221 isolated gate driver [18] (candidate)</t>
        </is>
      </c>
      <c r="D6" s="48" t="inlineStr">
        <is>
          <t>Yes</t>
        </is>
      </c>
      <c r="E6" s="48" t="inlineStr">
        <is>
          <t>Select isolated gate driver / digital isolator for gate-drive and/or feedback signal paths; verify UL1577 proof-test rating and creepage/clearance per [16]; scope which signal class(es) the tier covers before final part selection.</t>
        </is>
      </c>
      <c r="F6" s="48" t="inlineStr">
        <is>
          <t>[16], [18]</t>
        </is>
      </c>
      <c r="G6" s="37" t="inlineStr">
        <is>
          <t>Candidate (unverified)</t>
        </is>
      </c>
    </row>
    <row r="7" ht="66" customHeight="1" s="31">
      <c r="A7" s="48" t="inlineStr">
        <is>
          <t>Grounding</t>
        </is>
      </c>
      <c r="B7" s="48" t="inlineStr">
        <is>
          <t>MIL-STD-461G [15] (general bonding requirements); IEC/TR 61000-5-2:1997 [17] (earthing/cabling installation guideline)</t>
        </is>
      </c>
      <c r="C7" s="48" t="inlineStr">
        <is>
          <t>None -- layout/practice only</t>
        </is>
      </c>
      <c r="D7" s="48" t="inlineStr">
        <is>
          <t>No</t>
        </is>
      </c>
      <c r="E7" s="48" t="inlineStr">
        <is>
          <t>Apply single-point ground topology, continuous ground-plane layout, and star-grounding of high-di/dt power-stage return paths per [15]/[17]; no purchasable component implements this tier.</t>
        </is>
      </c>
      <c r="F7" s="48" t="inlineStr">
        <is>
          <t>[15], [17]</t>
        </is>
      </c>
      <c r="G7" s="39" t="inlineStr">
        <is>
          <t>No part needed</t>
        </is>
      </c>
    </row>
    <row r="8" ht="66" customHeight="1" s="31">
      <c r="A8" s="48" t="inlineStr">
        <is>
          <t>Faraday</t>
        </is>
      </c>
      <c r="B8" s="48" t="inlineStr">
        <is>
          <t>MIL-STD-461G [15] (shielding/radiated-emissions rationale, e.g. RE102/CE102 test methods)</t>
        </is>
      </c>
      <c r="C8" s="48" t="inlineStr">
        <is>
          <t>Würth Elektronik WE-SHC 3671375 shielding cabinet [19] (candidate)</t>
        </is>
      </c>
      <c r="D8" s="48" t="inlineStr">
        <is>
          <t>Yes</t>
        </is>
      </c>
      <c r="E8" s="48" t="inlineStr">
        <is>
          <t>Select board-level shielding can sized to cover the gate-drive / high-di/dt switching node area; verify shielding effectiveness (dB) over the target frequency range per [15]'s emissions rationale.</t>
        </is>
      </c>
      <c r="F8" s="48" t="inlineStr">
        <is>
          <t>[15], [19]</t>
        </is>
      </c>
      <c r="G8" s="37" t="inlineStr">
        <is>
          <t>Candidate (unverified)</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style="31" min="1" max="1"/>
    <col width="30" customWidth="1" style="31" min="2" max="2"/>
    <col width="34" customWidth="1" style="31" min="3" max="3"/>
    <col width="38" customWidth="1" style="31" min="4" max="4"/>
    <col width="30" customWidth="1" style="31" min="5" max="5"/>
    <col width="44" customWidth="1" style="31" min="6" max="6"/>
    <col width="18" customWidth="1" style="31" min="7" max="7"/>
    <col width="22" customWidth="1" style="31" min="8" max="8"/>
  </cols>
  <sheetData>
    <row r="1">
      <c r="A1" s="60" t="inlineStr">
        <is>
          <t>Wire Egress Decision Matrix</t>
        </is>
      </c>
    </row>
    <row r="2">
      <c r="A2" s="61" t="inlineStr">
        <is>
          <t>Build axis: Wire Egress (Opposite-end / Same-end, opposite faces)</t>
        </is>
      </c>
    </row>
    <row r="4">
      <c r="A4" s="62" t="inlineStr">
        <is>
          <t>Egress Pattern</t>
        </is>
      </c>
      <c r="B4" s="62" t="inlineStr">
        <is>
          <t>Terminal Face Assignment</t>
        </is>
      </c>
      <c r="C4" s="62" t="inlineStr">
        <is>
          <t>Board Re-partition Required</t>
        </is>
      </c>
      <c r="D4" s="62" t="inlineStr">
        <is>
          <t>Inner-Plane Shield Requirement</t>
        </is>
      </c>
      <c r="E4" s="62" t="inlineStr">
        <is>
          <t>Additional BOM Component</t>
        </is>
      </c>
      <c r="F4" s="62" t="inlineStr">
        <is>
          <t>Workflow Steps</t>
        </is>
      </c>
      <c r="G4" s="62" t="inlineStr">
        <is>
          <t>REFERENCES.md Tags</t>
        </is>
      </c>
      <c r="H4" s="62" t="inlineStr">
        <is>
          <t>Status</t>
        </is>
      </c>
    </row>
    <row r="5">
      <c r="A5" s="63" t="inlineStr">
        <is>
          <t>Opposite-end (default)</t>
        </is>
      </c>
      <c r="B5" s="63" t="inlineStr">
        <is>
          <t>Pack J5A/J5B on F.Cu at one board end; phases J4A/J4B/J4C on F.Cu at the other. Both groups sit directly on their own pours.</t>
        </is>
      </c>
      <c r="C5" s="63" t="inlineStr">
        <is>
          <t>None. This is the as-built arrangement on builds/6s/50A/CAN_485_faraday/.</t>
        </is>
      </c>
      <c r="D5" s="63" t="inlineStr">
        <is>
          <t>None arising from egress. The In1.Cu GND plane and the In2.Cu GND pour above y 60.5 mm serve their normal return and shielding roles; no terminal group is stacked over another.</t>
        </is>
      </c>
      <c r="E5" s="63" t="inlineStr">
        <is>
          <t>None beyond the selected EMI Hardening tier</t>
        </is>
      </c>
      <c r="F5" s="63" t="inlineStr">
        <is>
          <t>No egress-specific step. Terminal placement follows the power-stage placement; verify each terminal lands on its own pour per docs/tools/conductor_sizing.py.</t>
        </is>
      </c>
      <c r="G5" s="63" t="inlineStr">
        <is>
          <t>-</t>
        </is>
      </c>
      <c r="H5" s="63" t="inlineStr">
        <is>
          <t>Candidate (unverified)</t>
        </is>
      </c>
    </row>
    <row r="6">
      <c r="A6" s="63" t="inlineStr">
        <is>
          <t>Same-end, opposite faces</t>
        </is>
      </c>
      <c r="B6" s="63" t="inlineStr">
        <is>
          <t>Both groups leave the same board end. Phases J4A/J4B/J4C stay on F.Cu on their existing pours (unchanged); pack J5A/J5B move to B.Cu directly opposite. The two inner GND planes lie between them.</t>
        </is>
      </c>
      <c r="C6" s="63" t="inlineStr">
        <is>
          <t>Yes. B.Cu at the terminal end currently holds the MCU U1, the secure element U2 and the probe pads J1; all three must vacate to the logic end. VM distribution must also be extended to reach a B.Cu pad at that end -- today the VM pour stops at y 60.3 mm (F.Cu) / 60.5 mm (In2.Cu).</t>
        </is>
      </c>
      <c r="D6" s="63" t="inlineStr">
        <is>
          <t>MANDATORY and NOT currently met. The unnamed rule area at x 20.75-51.15, y 76.50-86.55 mm sets `copperpour not_allowed` on ALL FOUR copper layers, so In1.Cu and In2.Cu are cut away exactly where the two terminal groups would face each other. That rule area must be restricted to the outer layers, the inner GND planes must pour solid through the terminal window, and phase via transitions must be kept out of that window so no antipad perforates the shield.</t>
        </is>
      </c>
      <c r="E6" s="63" t="inlineStr">
        <is>
          <t>Common-mode choke on the pack input -- TBD -- requires primary-source verification (AGENTS.md Sec.1.3). No choke has been sourced or verified in this repo.</t>
        </is>
      </c>
      <c r="F6" s="63" t="inlineStr">
        <is>
          <t>Define a stackup FIRST -- the board currently has none (4 copper layers declared, `(thickness 1.6)` is KiCad's default, no dielectric height or copper weight specified). Then: fix the rule area's layer scope; re-place U1/U2/J1; extend VM to B.Cu; stitch In1/In2 with a GND via fence around the terminal window; re-run conductor_sizing.py and isolation_envelope.py; negative-control every new DRC rule before trusting it.</t>
        </is>
      </c>
      <c r="G6" s="63" t="inlineStr">
        <is>
          <t>[9], [49]</t>
        </is>
      </c>
      <c r="H6" s="63" t="inlineStr">
        <is>
          <t>Open / unresolved</t>
        </is>
      </c>
    </row>
    <row r="8">
      <c r="A8" s="64" t="inlineStr">
        <is>
          <t>Note: Rejected third arrangement: same end, both groups on the outer faces but split onto the two long edges. Five terminals in one row need 2 x 7.0 mm + 3 x 5.0 mm = 29.0 mm of pad on a 32.00 mm edge, leaving 0.50 mm per gap once four inter-pad gaps and two edge margins are taken -- not dressable with 6 sq.mm (~10 AWG) conductor, its solder fillet and its strain relief. Widening the board to suit is governed by docs/solutions/architecture-patterns/isolation-geometry-sets-board-aspect.md, which prices width at 3.0x the length it saves. See docs/design-single-end-wire-egress-variant.md Sec.7.2. -- Board thickness is NOT a usable lever for face-to-face separation: with a grounded plane between the faces the direct coupling path is already terminated, whereas doubling the laminate thickness only halves a parallel-plate capacitance. Restore the plane rather than thicken the board.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
  <sheetViews>
    <sheetView workbookViewId="0">
      <pane ySplit="10" topLeftCell="A11" activePane="bottomLeft" state="frozen"/>
      <selection pane="bottomLeft" activeCell="A1" sqref="A1"/>
    </sheetView>
  </sheetViews>
  <sheetFormatPr baseColWidth="8" defaultRowHeight="15"/>
  <cols>
    <col width="22" customWidth="1" style="31" min="1" max="1"/>
    <col width="32" customWidth="1" style="31" min="2" max="2"/>
    <col width="26" customWidth="1" style="31" min="3" max="3"/>
    <col width="26" customWidth="1" style="31" min="4" max="4"/>
    <col width="32" customWidth="1" style="31" min="5" max="5"/>
    <col width="26" customWidth="1" style="31" min="6" max="6"/>
    <col width="42" customWidth="1" style="31" min="7" max="7"/>
    <col width="34" customWidth="1" style="31" min="8" max="8"/>
    <col width="46" customWidth="1" style="31" min="9" max="9"/>
    <col width="16" customWidth="1" style="31" min="10" max="10"/>
    <col width="20" customWidth="1" style="31" min="11" max="11"/>
  </cols>
  <sheetData>
    <row r="1">
      <c r="A1" s="60" t="inlineStr">
        <is>
          <t>Form Factor Decision Matrix</t>
        </is>
      </c>
    </row>
    <row r="2">
      <c r="A2" s="61" t="inlineStr">
        <is>
          <t>Build axis: Form Factor (Flat / Faceted rigid-flex / Faceted separate boards). Strip width and sagitta derive from each other; see the preamble.</t>
        </is>
      </c>
    </row>
    <row r="4">
      <c r="A4" s="61" t="inlineStr">
        <is>
          <t>Width from radial depth</t>
        </is>
      </c>
      <c r="B4" s="61" t="inlineStr">
        <is>
          <t>w = 2 * sqrt(2*R*s - s^2)</t>
        </is>
      </c>
    </row>
    <row r="5">
      <c r="A5" s="61" t="inlineStr">
        <is>
          <t>Radial depth from width</t>
        </is>
      </c>
      <c r="B5" s="61" t="inlineStr">
        <is>
          <t>s = R - sqrt(R^2 - (w/2)^2)</t>
        </is>
      </c>
    </row>
    <row r="6">
      <c r="A6" s="61" t="inlineStr">
        <is>
          <t>Reference host bore radius R (mm)</t>
        </is>
      </c>
      <c r="B6" s="61" t="n">
        <v>30</v>
      </c>
    </row>
    <row r="7">
      <c r="A7" s="61" t="inlineStr">
        <is>
          <t>Reference radial depth budget s (mm)</t>
        </is>
      </c>
      <c r="B7" s="61" t="n">
        <v>2.5</v>
      </c>
    </row>
    <row r="8">
      <c r="A8" s="61" t="inlineStr">
        <is>
          <t>Resulting max strip width w (mm)</t>
        </is>
      </c>
      <c r="B8" s="61" t="n">
        <v>23.98</v>
      </c>
    </row>
    <row r="10">
      <c r="A10" s="62" t="inlineStr">
        <is>
          <t>Form Factor</t>
        </is>
      </c>
      <c r="B10" s="62" t="inlineStr">
        <is>
          <t>Host Geometry</t>
        </is>
      </c>
      <c r="C10" s="62" t="inlineStr">
        <is>
          <t>Max Strip Width (mm)</t>
        </is>
      </c>
      <c r="D10" s="62" t="inlineStr">
        <is>
          <t>Sagitta / Radial Depth (mm)</t>
        </is>
      </c>
      <c r="E10" s="62" t="inlineStr">
        <is>
          <t>Max Board Width (mm)</t>
        </is>
      </c>
      <c r="F10" s="62" t="inlineStr">
        <is>
          <t>Max Board Length (mm)</t>
        </is>
      </c>
      <c r="G10" s="62" t="inlineStr">
        <is>
          <t>Component-Driven Dimension</t>
        </is>
      </c>
      <c r="H10" s="62" t="inlineStr">
        <is>
          <t>Facet Interconnect</t>
        </is>
      </c>
      <c r="I10" s="62" t="inlineStr">
        <is>
          <t>Workflow Steps</t>
        </is>
      </c>
      <c r="J10" s="62" t="inlineStr">
        <is>
          <t>REFERENCES.md Tags</t>
        </is>
      </c>
      <c r="K10" s="62" t="inlineStr">
        <is>
          <t>Status</t>
        </is>
      </c>
    </row>
    <row r="11">
      <c r="A11" s="63" t="inlineStr">
        <is>
          <t>Flat (default)</t>
        </is>
      </c>
      <c r="B11" s="63" t="inlineStr">
        <is>
          <t>Planar mounting, no host curvature. Sagitta does not apply.</t>
        </is>
      </c>
      <c r="C11" s="63" t="inlineStr">
        <is>
          <t>n/a -- one rigid panel</t>
        </is>
      </c>
      <c r="D11" s="63" t="inlineStr">
        <is>
          <t>n/a</t>
        </is>
      </c>
      <c r="E11" s="63" t="inlineStr">
        <is>
          <t>No host limit. The LOWER bound of 31.86 mm is set by [9] Table 6 creepage via docs/tools/isolation_envelope.py, not by any enclosure.</t>
        </is>
      </c>
      <c r="F11" s="63" t="inlineStr">
        <is>
          <t>Driven by components.</t>
        </is>
      </c>
      <c r="G11" s="63" t="inlineStr">
        <is>
          <t>Length. Width is pinned at the creepage minimum, so the part count sets the length.</t>
        </is>
      </c>
      <c r="H11" s="63" t="inlineStr">
        <is>
          <t>None -- a single rigid board.</t>
        </is>
      </c>
      <c r="I11" s="63" t="inlineStr">
        <is>
          <t>Default; no extra step. Both existing builds are this form factor: builds/6s/50A/CAN_485_faraday/ at 32.00 x 66.10 mm and .../CAN_485_faraday_sameend/ at 32.00 x 76.10 mm.</t>
        </is>
      </c>
      <c r="J11" s="63" t="inlineStr">
        <is>
          <t>[9]</t>
        </is>
      </c>
      <c r="K11" s="63" t="inlineStr">
        <is>
          <t>Candidate (unverified)</t>
        </is>
      </c>
    </row>
    <row r="12">
      <c r="A12" s="63" t="inlineStr">
        <is>
          <t>Faceted rigid-flex</t>
        </is>
      </c>
      <c r="B12" s="63" t="inlineStr">
        <is>
          <t>Cylindrical bore of radius R. Each rigid facet is a flat chord; its sagitta is the radial depth it consumes from the annulus. At the reference R = 30.0 mm a 24.00 mm facet subtends 47.16 deg, so 4 facets cover 180 deg.</t>
        </is>
      </c>
      <c r="C12" s="63" t="inlineStr">
        <is>
          <t>24.00 mm nominal at the reference geometry (23.98 mm exact for s = 2.5 mm, rounded down). Recompute per host: docs/tools/strip_width.py --radius R --depth s</t>
        </is>
      </c>
      <c r="D12" s="63" t="inlineStr">
        <is>
          <t>2.505 mm at w = 24.00 mm, R = 30.0 mm. This is the depth the board steals from the annulus -- budget it against the bore contents, not against the skin alone.</t>
        </is>
      </c>
      <c r="E12" s="63" t="inlineStr">
        <is>
          <t>Equals the strip width for a single-facet-wide board.</t>
        </is>
      </c>
      <c r="F12" s="63" t="inlineStr">
        <is>
          <t>Driven by components; the sum of the facet lengths plus the flex hinges between them.</t>
        </is>
      </c>
      <c r="G12" s="63" t="inlineStr">
        <is>
          <t>Length, and it grows faster than the width shrinks. At 24.00 mm on THIS design: isolation_envelope.py can no longer seat the control section between the isolated rows and stacks it in Y instead, +19.50 mm; and the FET bridge spans 26.96 mm across Q1-Q6 as a 3x2, so it does not fit the strip at all and must become 2x3, adding more. Estimated 24 x 105-115 mm -- a new layout sharing the BOM, NOT a variant of the flat board.</t>
        </is>
      </c>
      <c r="H12" s="63" t="inlineStr">
        <is>
          <t>Flex hinge -- TBD -- requires primary-source verification (AGENTS.md Sec.1.3). No flex or rigid-flex standard is catalogued in REFERENCES.md; neither IPC-2223 (flex design) nor IPC-6013 (flex qualification) has been obtained. Bend radius, flex-zone layer count and copper limits cannot be stated until one is.</t>
        </is>
      </c>
      <c r="I12" s="63" t="inlineStr">
        <is>
          <t>Acquire and cite a flex design standard FIRST (AGENTS.md Sec.2). Then: run strip_width.py for the actual host radius and depth budget; re-run isolation_envelope.py at the target width to price the length; re-lay the FET bridge to fit the strip; keep the whole 50 A power stage on ONE rigid facet -- flex copper is thin and polyimide is a poor thermal path, and conductor_sizing.py already requires 2 oz just for the phase pours; re-run conductor_sizing.py for the new geometry.</t>
        </is>
      </c>
      <c r="J12" s="63" t="inlineStr">
        <is>
          <t>[9]</t>
        </is>
      </c>
      <c r="K12" s="63" t="inlineStr">
        <is>
          <t>Open / unresolved</t>
        </is>
      </c>
    </row>
    <row r="13">
      <c r="A13" s="63" t="inlineStr">
        <is>
          <t>Faceted separate boards</t>
        </is>
      </c>
      <c r="B13" s="63" t="inlineStr">
        <is>
          <t>Same chord geometry as rigid-flex -- each rigid panel is a flat chord of the bore -- but the panels are independent boards joined by an interconnect rather than by a flex hinge. NOTE: the panels meet AT the bore circle, the point of maximum radius, so a connector at the joint has no outward room and protrudes inward into the bore. Budget its height against the bore contents (TODO.md 16.3).</t>
        </is>
      </c>
      <c r="C13" s="63" t="inlineStr">
        <is>
          <t>Identical to rigid-flex: 24.00 mm nominal at the reference geometry. docs/tools/hinge_placement.py chooses the CUT position exactly as it chooses a fold.</t>
        </is>
      </c>
      <c r="D13" s="63" t="inlineStr">
        <is>
          <t>2.505 mm per panel, as rigid-flex, PLUS the interconnect height at the joint vertex.</t>
        </is>
      </c>
      <c r="E13" s="63" t="inlineStr">
        <is>
          <t>Equals the strip width per panel.</t>
        </is>
      </c>
      <c r="F13" s="63" t="inlineStr">
        <is>
          <t>Driven by components, as rigid-flex.</t>
        </is>
      </c>
      <c r="G13" s="63" t="inlineStr">
        <is>
          <t>Length -- AND the form factor should drive the functional partition. Faceting makes logic-vs-power placement a first-class layout decision: if the whole 50 A power stage sits on ONE panel the joint carries signals only, and either form factor works. If the cut splits the power stage the joint carries up to 50 A, which only separate boards can realistically do. On the current layout the power stage spans 26.96 mm in X and logic spans 28.74 mm, overlapping over 26.96 mm, so EVERY cut splits both -- the partition must be re-oriented along the cut axis.</t>
        </is>
      </c>
      <c r="H13" s="63" t="inlineStr">
        <is>
          <t>Board-to-board connector, busbar, solder tab or wire link -- TBD -- requires primary-source verification (AGENTS.md Sec.1.3). No interconnect part has been selected. The decisive advantage over a flex hinge is that this joint CAN carry 50 A; flex copper is thin and conductor_sizing.py already requires 2 oz for the phase pours alone. The decisive disadvantage is a rigid joint in a vibration environment, where a flex hinge is compliant -- an engineering judgement here, no standard is cited for it.</t>
        </is>
      </c>
      <c r="I13" s="63" t="inlineStr">
        <is>
          <t>NOT blocked by the flex-standard gate (16.2): standard rigid FR-4 on both panels, any fab, full copper weight throughout. Run hinge_placement.py --optimize for the cut, then: keep the whole power stage on one panel if the interconnect is to stay signal-only; keep any rigid shielding can wholly on one panel (SH1 is 22.75 mm and nearly fills a 23.98 mm facet by itself); and either give the isolated section its own panel or let the isolation barrier fall ON the cut, where the inter-panel gap supplies the separation instead of 7.5 mm of board surface.</t>
        </is>
      </c>
      <c r="J13" s="63" t="inlineStr">
        <is>
          <t>[9], [19]</t>
        </is>
      </c>
      <c r="K13" s="63" t="inlineStr">
        <is>
          <t>Open / unresolved</t>
        </is>
      </c>
    </row>
    <row r="15">
      <c r="A15" s="64" t="inlineStr">
        <is>
          <t>Note: Choose the dimension the enclosure actually constrains and let the components drive the other -- they are not independent. A board carries a fixed part list, so narrowing it does not shrink it, it lengthens it, usually by more than the width saved. Both figures in the 'Component-Driven Dimension' cells come from this repo's own tools (docs/tools/isolation_envelope.py and measurements of the Q1-Q6 placement), not from estimation. -- Curvature is NOT what blocks a narrow board on this design: creepage is. [9] Table 6 forces a 31.86 mm minimum width while the isolated transceivers sit either side of the control section, and no amount of bending changes that; only restacking the isolation section does. -- True curved rigid FR-4 does not exist: the laminate is pressed flat. 'Curved' means faceted, whether the facets are joined by flex hinges or are separate boards with an interconnect. -- CHOOSING BETWEEN THE TWO FACETED ROWS: run docs/tools/hinge_placement.py --optimize and read what crosses the cut. A signal-only joint favours rigid-flex (no connector, self-locating, compliant under vibration); a joint carrying Power-netclass conductors favours separate boards, because a flex hinge cannot realistically pass 50 A. Separate boards also avoid the flex-standard acquisition gate (16.2) entirely. The tool also checks the two constraints faceting imposes on placement: a rigid shielding can may not straddle a joint, and a panel holding both sides of an isolation barrier must still meet the 31.86 mm width isolation_envelope.py derives from [9] Table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2026-08-02T04:52:37Z</dcterms:created>
  <dcterms:modified xmlns:dcterms="http://purl.org/dc/terms/" xmlns:xsi="http://www.w3.org/2001/XMLSchema-instance" xsi:type="dcterms:W3CDTF">2026-09-17T18:50:14Z</dcterms:modified>
  <cp:revision>0</cp:revision>
</cp:coreProperties>
</file>